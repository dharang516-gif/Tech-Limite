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haraja\"/>
    </mc:Choice>
  </mc:AlternateContent>
  <xr:revisionPtr revIDLastSave="0" documentId="13_ncr:1_{AA18E05F-FE4D-437B-AAE5-412C5A8543B7}" xr6:coauthVersionLast="47" xr6:coauthVersionMax="47" xr10:uidLastSave="{00000000-0000-0000-0000-000000000000}"/>
  <bookViews>
    <workbookView xWindow="-108" yWindow="-108" windowWidth="23256" windowHeight="12456" firstSheet="1" activeTab="5" xr2:uid="{7F84D032-5035-4AF3-91A0-76DD6E042472}"/>
  </bookViews>
  <sheets>
    <sheet name="Problems." sheetId="1" r:id="rId1"/>
    <sheet name="Journal." sheetId="2" r:id="rId2"/>
    <sheet name="Ledger." sheetId="3" r:id="rId3"/>
    <sheet name="Trial Balance." sheetId="4" r:id="rId4"/>
    <sheet name="Trading Account." sheetId="6" r:id="rId5"/>
    <sheet name="P&amp;L." sheetId="5" r:id="rId6"/>
    <sheet name="Balance Sheet." sheetId="7" r:id="rId7"/>
    <sheet name="Ratio Analysis.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8" l="1"/>
  <c r="B38" i="8"/>
  <c r="B10" i="8"/>
  <c r="C6" i="7"/>
  <c r="F18" i="7"/>
  <c r="C18" i="7"/>
  <c r="F16" i="7"/>
  <c r="F14" i="7"/>
  <c r="F12" i="7"/>
  <c r="F7" i="7"/>
  <c r="E31" i="5"/>
  <c r="E28" i="5"/>
  <c r="E29" i="5" s="1"/>
  <c r="E25" i="5"/>
  <c r="E26" i="5" s="1"/>
  <c r="C10" i="5"/>
  <c r="C6" i="5"/>
  <c r="B45" i="8" l="1"/>
  <c r="B44" i="8"/>
  <c r="B41" i="8"/>
  <c r="B34" i="8"/>
  <c r="B35" i="8" s="1"/>
  <c r="B28" i="8"/>
  <c r="B30" i="8" s="1"/>
  <c r="B25" i="8"/>
  <c r="B17" i="8"/>
  <c r="B19" i="8" s="1"/>
  <c r="B11" i="8"/>
  <c r="B7" i="8"/>
  <c r="C21" i="5"/>
  <c r="H14" i="5" s="1"/>
  <c r="F21" i="5"/>
  <c r="F6" i="6"/>
  <c r="F13" i="6" s="1"/>
  <c r="C10" i="6"/>
  <c r="C13" i="6" s="1"/>
  <c r="C7" i="6"/>
  <c r="B13" i="8" l="1"/>
  <c r="B47" i="8"/>
  <c r="C32" i="4" l="1"/>
  <c r="D32" i="4"/>
  <c r="H245" i="3"/>
  <c r="D245" i="3"/>
  <c r="D246" i="3" s="1"/>
  <c r="H243" i="3"/>
  <c r="H237" i="3"/>
  <c r="D237" i="3"/>
  <c r="D238" i="3" s="1"/>
  <c r="H235" i="3"/>
  <c r="H229" i="3"/>
  <c r="D229" i="3"/>
  <c r="D230" i="3" s="1"/>
  <c r="H227" i="3"/>
  <c r="H221" i="3"/>
  <c r="H222" i="3" s="1"/>
  <c r="D219" i="3"/>
  <c r="D221" i="3" s="1"/>
  <c r="H213" i="3"/>
  <c r="D213" i="3"/>
  <c r="D214" i="3" s="1"/>
  <c r="H211" i="3"/>
  <c r="H205" i="3"/>
  <c r="D205" i="3"/>
  <c r="D206" i="3" s="1"/>
  <c r="H203" i="3"/>
  <c r="D198" i="3"/>
  <c r="H198" i="3"/>
  <c r="H189" i="3"/>
  <c r="H190" i="3" s="1"/>
  <c r="D187" i="3"/>
  <c r="D189" i="3" s="1"/>
  <c r="H181" i="3"/>
  <c r="D181" i="3"/>
  <c r="D182" i="3" s="1"/>
  <c r="H179" i="3"/>
  <c r="H173" i="3"/>
  <c r="H174" i="3" s="1"/>
  <c r="D171" i="3"/>
  <c r="D173" i="3" s="1"/>
  <c r="H165" i="3"/>
  <c r="D165" i="3"/>
  <c r="D166" i="3" s="1"/>
  <c r="H163" i="3"/>
  <c r="H157" i="3"/>
  <c r="D157" i="3"/>
  <c r="D158" i="3" s="1"/>
  <c r="H155" i="3"/>
  <c r="D147" i="3"/>
  <c r="D149" i="3" s="1"/>
  <c r="H149" i="3"/>
  <c r="H150" i="3" s="1"/>
  <c r="D141" i="3"/>
  <c r="D142" i="3" s="1"/>
  <c r="H132" i="3"/>
  <c r="D132" i="3"/>
  <c r="D133" i="3" s="1"/>
  <c r="H130" i="3"/>
  <c r="H122" i="3"/>
  <c r="H124" i="3"/>
  <c r="D124" i="3"/>
  <c r="D125" i="3" s="1"/>
  <c r="D116" i="3"/>
  <c r="D117" i="3" s="1"/>
  <c r="H116" i="3"/>
  <c r="H114" i="3"/>
  <c r="D106" i="3"/>
  <c r="H108" i="3"/>
  <c r="H109" i="3" s="1"/>
  <c r="D101" i="3"/>
  <c r="H101" i="3"/>
  <c r="H91" i="3"/>
  <c r="H92" i="3" s="1"/>
  <c r="D81" i="3"/>
  <c r="D82" i="3" s="1"/>
  <c r="H79" i="3"/>
  <c r="H81" i="3" s="1"/>
  <c r="H74" i="3"/>
  <c r="D74" i="3"/>
  <c r="D64" i="3"/>
  <c r="H60" i="3" s="1"/>
  <c r="H64" i="3" s="1"/>
  <c r="H52" i="3"/>
  <c r="H54" i="3" s="1"/>
  <c r="D54" i="3"/>
  <c r="D55" i="3" s="1"/>
  <c r="D46" i="3"/>
  <c r="D47" i="3" s="1"/>
  <c r="H44" i="3"/>
  <c r="H46" i="3" s="1"/>
  <c r="D39" i="3"/>
  <c r="D38" i="3"/>
  <c r="H38" i="3"/>
  <c r="D27" i="3"/>
  <c r="D26" i="3"/>
  <c r="H26" i="3"/>
  <c r="H7" i="3"/>
  <c r="H8" i="3" s="1"/>
  <c r="D7" i="3"/>
  <c r="H138" i="3" l="1"/>
  <c r="H141" i="3" s="1"/>
  <c r="D108" i="3"/>
  <c r="D87" i="3"/>
  <c r="D91" i="3" s="1"/>
  <c r="D65" i="3"/>
  <c r="J35" i="3"/>
</calcChain>
</file>

<file path=xl/sharedStrings.xml><?xml version="1.0" encoding="utf-8"?>
<sst xmlns="http://schemas.openxmlformats.org/spreadsheetml/2006/main" count="782" uniqueCount="330">
  <si>
    <t>Following are the transactions preparing Journal Entries, Ledger Accounts, Trial Balance, Trading Account, Profit &amp; Loss Account and Balance Sheet.</t>
  </si>
  <si>
    <t>Tech Limited</t>
  </si>
  <si>
    <t>Transactions for the Year Ended 31 March 2026</t>
  </si>
  <si>
    <t>Share capital introduced through bank</t>
  </si>
  <si>
    <t>Purchased furniture and fixtures for cash</t>
  </si>
  <si>
    <t>Purchased machinery by cheque</t>
  </si>
  <si>
    <t>Purchased goods on credit from Raj Traders</t>
  </si>
  <si>
    <t>Purchased goods for cash</t>
  </si>
  <si>
    <t>Paid carriage inward on purchases</t>
  </si>
  <si>
    <t>Sold goods for cash</t>
  </si>
  <si>
    <t>Sold goods on credit to Kumar Stores</t>
  </si>
  <si>
    <t>Returned goods to Raj Traders</t>
  </si>
  <si>
    <t>Kumar Stores returned goods</t>
  </si>
  <si>
    <t>Paid salary to employees</t>
  </si>
  <si>
    <t>Paid office rent by cheque</t>
  </si>
  <si>
    <t>Received cash from Kumar Stores</t>
  </si>
  <si>
    <t>Allowed discount to Kumar Stores</t>
  </si>
  <si>
    <t>Paid Raj Traders through bank</t>
  </si>
  <si>
    <t>Received discount from Raj Traders</t>
  </si>
  <si>
    <t>Purchased office computer for cash</t>
  </si>
  <si>
    <t>Paid insurance premium</t>
  </si>
  <si>
    <t>Received commission income</t>
  </si>
  <si>
    <t>Paid electricity charges</t>
  </si>
  <si>
    <t>Purchased goods on credit from Devi Suppliers</t>
  </si>
  <si>
    <t>Sold goods on credit to Star Agencies</t>
  </si>
  <si>
    <t>Received cash from Star Agencies</t>
  </si>
  <si>
    <t>Allowed discount to Star Agencies</t>
  </si>
  <si>
    <t>Paid wages</t>
  </si>
  <si>
    <t>Paid advertisement expenses</t>
  </si>
  <si>
    <t>Received interest on investment</t>
  </si>
  <si>
    <t>Paid audit fees</t>
  </si>
  <si>
    <t>Paid telephone expenses</t>
  </si>
  <si>
    <t>Paid interest on bank loan by cheque</t>
  </si>
  <si>
    <t>In the Books of Tech limited.Preparation of Journal Entries for the year ended 31st March 2026.</t>
  </si>
  <si>
    <t>Date</t>
  </si>
  <si>
    <t>Particulars</t>
  </si>
  <si>
    <t>L.F</t>
  </si>
  <si>
    <t>Debit ₹</t>
  </si>
  <si>
    <t>Credit ₹</t>
  </si>
  <si>
    <t>Bank A/c</t>
  </si>
  <si>
    <t>Dr</t>
  </si>
  <si>
    <t xml:space="preserve">  To Capital A/c</t>
  </si>
  <si>
    <t>(Being share capital introduced by Bank)</t>
  </si>
  <si>
    <t>Furniture &amp; Fixture A/c</t>
  </si>
  <si>
    <t xml:space="preserve">  To Cash A/c</t>
  </si>
  <si>
    <t>(Being purchased furniture and fixture by Cash)</t>
  </si>
  <si>
    <t>Machinery A/c</t>
  </si>
  <si>
    <t xml:space="preserve">  To Bank A/c</t>
  </si>
  <si>
    <t>(Being purchased machinery by cheque)</t>
  </si>
  <si>
    <t>Purchase A/c</t>
  </si>
  <si>
    <t xml:space="preserve">  To Raj Traders A/c</t>
  </si>
  <si>
    <t>(Being purchased goods on credit from Raj Traders)</t>
  </si>
  <si>
    <t>(Being purchased goods for cash)</t>
  </si>
  <si>
    <t>Carriage inward A/c</t>
  </si>
  <si>
    <t>(Being paid carriage inward by cash)</t>
  </si>
  <si>
    <t>Cash A/c</t>
  </si>
  <si>
    <t xml:space="preserve">  To Sales A/c</t>
  </si>
  <si>
    <t>(Being sold goods for cash)</t>
  </si>
  <si>
    <t>Kumar stores A/c</t>
  </si>
  <si>
    <t>(Being sold goods for credit to Kumar stores)</t>
  </si>
  <si>
    <t>Raj Traders A/c</t>
  </si>
  <si>
    <t xml:space="preserve">  To Purchase returns A/c</t>
  </si>
  <si>
    <t>Sales Returns A/c</t>
  </si>
  <si>
    <t xml:space="preserve">  To Kumar Stores A/c</t>
  </si>
  <si>
    <t>(Being retrurened goods to Raj Traders)</t>
  </si>
  <si>
    <t>(Being returned goods from Kumar Stores)</t>
  </si>
  <si>
    <t>Salaries A/c</t>
  </si>
  <si>
    <t>(Being paid salaries to employees)</t>
  </si>
  <si>
    <t>Rent A/c</t>
  </si>
  <si>
    <t>(Being paid office rent by cheque)</t>
  </si>
  <si>
    <t>(Being Cash received from Kumar Stores)</t>
  </si>
  <si>
    <t>Discount Allowed A/c</t>
  </si>
  <si>
    <t>(Being discount allowed to Kumar Stores)</t>
  </si>
  <si>
    <t>(Being paid raj Traders through Bank)</t>
  </si>
  <si>
    <t xml:space="preserve">  To Discount received A/c</t>
  </si>
  <si>
    <t>(Being discount received from Raj traders)</t>
  </si>
  <si>
    <t>Computer A/c</t>
  </si>
  <si>
    <t>(Being purchased office computer by Cash)</t>
  </si>
  <si>
    <t>Inscurance Premium A/c</t>
  </si>
  <si>
    <t>(Being paid Inscurance premium)</t>
  </si>
  <si>
    <t xml:space="preserve">  To Commission received A/c</t>
  </si>
  <si>
    <t>(Being commission received income)</t>
  </si>
  <si>
    <t>Electricity charges A/c</t>
  </si>
  <si>
    <t>(Being paid electricity charges)</t>
  </si>
  <si>
    <t xml:space="preserve">  To Devi suppliers A/c</t>
  </si>
  <si>
    <t>(Bering purchased goods from Devi suppliers by credit)</t>
  </si>
  <si>
    <t>Star agencies A/c</t>
  </si>
  <si>
    <t>(Being sold goods to Star agencies for credit)</t>
  </si>
  <si>
    <t xml:space="preserve">  To Star agencies A/c</t>
  </si>
  <si>
    <t>(Being cash received from Star agencies)</t>
  </si>
  <si>
    <t>(Being discount allowed to Star agencies)</t>
  </si>
  <si>
    <t>Wages A/c</t>
  </si>
  <si>
    <t>(Being paid wages )</t>
  </si>
  <si>
    <t>Advertismentr expenses A/c</t>
  </si>
  <si>
    <t>(Being paid advertisment expenses)</t>
  </si>
  <si>
    <t xml:space="preserve">  To Received intrest A/c</t>
  </si>
  <si>
    <t>(Being received intrest on investment)</t>
  </si>
  <si>
    <t>Audit Fees A/c</t>
  </si>
  <si>
    <t>(Being paid audit fees)</t>
  </si>
  <si>
    <t>Telephone expenses A/c</t>
  </si>
  <si>
    <t>(Being paid telephone expenses)</t>
  </si>
  <si>
    <t>Intrest on bank loan A/c</t>
  </si>
  <si>
    <t>(Being intrest on bank loan paid by cheque)</t>
  </si>
  <si>
    <t>Dr.</t>
  </si>
  <si>
    <t>J.F</t>
  </si>
  <si>
    <t>Amount₹</t>
  </si>
  <si>
    <t>Cr.</t>
  </si>
  <si>
    <t>Capital A/c</t>
  </si>
  <si>
    <t>In the Books of Tech limited.Preparation of Ledger for the year ended 31st March 2026.</t>
  </si>
  <si>
    <t>By Bank A/c</t>
  </si>
  <si>
    <t>By Balance C/d</t>
  </si>
  <si>
    <t>By Balance B/d</t>
  </si>
  <si>
    <t>To Balance C/d</t>
  </si>
  <si>
    <t>By Furniture &amp; fixture A/c</t>
  </si>
  <si>
    <t>By Purchase A/c</t>
  </si>
  <si>
    <t>By Carriage inward aA/c</t>
  </si>
  <si>
    <t>To Sales A/c</t>
  </si>
  <si>
    <t>By Salaries A/c</t>
  </si>
  <si>
    <t>To Kumar Stores A/c</t>
  </si>
  <si>
    <t>By Computer A/c</t>
  </si>
  <si>
    <t>By Inscurance Premium A/c</t>
  </si>
  <si>
    <t>To Commission received A/c</t>
  </si>
  <si>
    <t>By Electricity charges A/c</t>
  </si>
  <si>
    <t>To Star Agencies A/c</t>
  </si>
  <si>
    <t>By Wages A/c</t>
  </si>
  <si>
    <t>By Advertisment expenses A/c</t>
  </si>
  <si>
    <t>By Audit fees A/c</t>
  </si>
  <si>
    <t>By Telephone expenses A/c</t>
  </si>
  <si>
    <t>To Balance B/d</t>
  </si>
  <si>
    <t>To Capital A/c</t>
  </si>
  <si>
    <t>By Machinery A/c</t>
  </si>
  <si>
    <t>By Rent A/c</t>
  </si>
  <si>
    <t>By Raj Traders A/c</t>
  </si>
  <si>
    <t>To Received interst A/c</t>
  </si>
  <si>
    <t>By Intrest on bank loan A/c</t>
  </si>
  <si>
    <t>To Cash A/c</t>
  </si>
  <si>
    <t>To Bank A/c</t>
  </si>
  <si>
    <t>To Raj Traders A/c</t>
  </si>
  <si>
    <t>To Devi Suppliers A/c</t>
  </si>
  <si>
    <t>To Purchase Returns A/c</t>
  </si>
  <si>
    <t>To Discount Received A/c</t>
  </si>
  <si>
    <t>Sales A/c</t>
  </si>
  <si>
    <t>By Cash A/c</t>
  </si>
  <si>
    <t>By Kumar Stores A/c</t>
  </si>
  <si>
    <t>By Star Agencies A/c</t>
  </si>
  <si>
    <t>Kumar Stores A/c</t>
  </si>
  <si>
    <t>By Sales Returns A/c</t>
  </si>
  <si>
    <t>By Discount Allowed A/c</t>
  </si>
  <si>
    <t>Purchase Returns A/c</t>
  </si>
  <si>
    <t>Discount Received A/c</t>
  </si>
  <si>
    <t>Commission Received A/c</t>
  </si>
  <si>
    <t>Electricity Charges A/c</t>
  </si>
  <si>
    <t>Star Agencies A/c</t>
  </si>
  <si>
    <t>Advertisment Expenses A/c</t>
  </si>
  <si>
    <t>Received Intrest A/c</t>
  </si>
  <si>
    <t>Telephone Expenses A/c</t>
  </si>
  <si>
    <t>1.Capital A/c</t>
  </si>
  <si>
    <t>2.Cash A/c</t>
  </si>
  <si>
    <t>3.Bank A/c</t>
  </si>
  <si>
    <t>4.Furniture &amp; Fixture A/c</t>
  </si>
  <si>
    <t>5.Machinery A/c</t>
  </si>
  <si>
    <t>6.Purchase A/c</t>
  </si>
  <si>
    <t>7.Raj Traders A/c</t>
  </si>
  <si>
    <t>8.Carriage inward A/c</t>
  </si>
  <si>
    <t>9.Sales A/c</t>
  </si>
  <si>
    <t>10.Kumar Stores A/c</t>
  </si>
  <si>
    <t>11.Purchase Returns A/c</t>
  </si>
  <si>
    <t>12.Sales Returns A/c</t>
  </si>
  <si>
    <t>13.Salaries A/c</t>
  </si>
  <si>
    <t>14.Rent A/c</t>
  </si>
  <si>
    <t>16.Discount Received A/c</t>
  </si>
  <si>
    <t>17.Computer A/c</t>
  </si>
  <si>
    <t>18.Inscurance Premium A/c</t>
  </si>
  <si>
    <t>19.Commission Received A/c</t>
  </si>
  <si>
    <t>20.Electricity Charges A/c</t>
  </si>
  <si>
    <t>21.Devi suppliers A/c</t>
  </si>
  <si>
    <t>22.Star Agencies A/c</t>
  </si>
  <si>
    <t>23.Wages A/c</t>
  </si>
  <si>
    <t>24.Advertisment Expenses A/c</t>
  </si>
  <si>
    <t>25.Received Intrest A/c</t>
  </si>
  <si>
    <t>26.Audit Fees A/c</t>
  </si>
  <si>
    <t>27.Telephone Expenses A/c</t>
  </si>
  <si>
    <t>28.Intrest On Bank Loan A/c</t>
  </si>
  <si>
    <t>S.No</t>
  </si>
  <si>
    <t>Debit₹</t>
  </si>
  <si>
    <t>Credit₹</t>
  </si>
  <si>
    <t>In the Books of Tech limited.Preparation of Trial Balance for the year ended 31st March 2026.</t>
  </si>
  <si>
    <t>-</t>
  </si>
  <si>
    <t>Carriage Inward A/c</t>
  </si>
  <si>
    <t>Audit fees A/c</t>
  </si>
  <si>
    <t>Intrest on Bank Loan A/c</t>
  </si>
  <si>
    <t>Devi Suppliers A/c</t>
  </si>
  <si>
    <t>Total</t>
  </si>
  <si>
    <t>In the Books of Tech limited.Preparation of Trading Account for the year ended 31st March 2026.</t>
  </si>
  <si>
    <t>To Opening Stock</t>
  </si>
  <si>
    <t>To Direct Expenses:</t>
  </si>
  <si>
    <t>To Purchase</t>
  </si>
  <si>
    <t>Less:Purchase Returns</t>
  </si>
  <si>
    <t>To Carriage inward</t>
  </si>
  <si>
    <t>To Wages</t>
  </si>
  <si>
    <t>Less:Sales Returns</t>
  </si>
  <si>
    <t>By Sales</t>
  </si>
  <si>
    <t>By Closing Stock</t>
  </si>
  <si>
    <t>To Gross Profit C/d</t>
  </si>
  <si>
    <t>In the Books of Tech limited.Preparation of Profit &amp; Loss for the year ended 31st March 2026.</t>
  </si>
  <si>
    <t>By Gross Profit B/d</t>
  </si>
  <si>
    <t>By Discount Received</t>
  </si>
  <si>
    <t>By Commission Received</t>
  </si>
  <si>
    <t>By Intrest Received</t>
  </si>
  <si>
    <t>To Salaries</t>
  </si>
  <si>
    <t>To Rent</t>
  </si>
  <si>
    <t xml:space="preserve">To Discount Allowed </t>
  </si>
  <si>
    <t>Discount Alloweded A/c</t>
  </si>
  <si>
    <t>15.Discount Alloweded A/c</t>
  </si>
  <si>
    <t>To Inscurance Premium</t>
  </si>
  <si>
    <t>To Electricity Charges</t>
  </si>
  <si>
    <t>To Advertisment Expenses</t>
  </si>
  <si>
    <t>To Audit fees</t>
  </si>
  <si>
    <t>To Telephone Expenses</t>
  </si>
  <si>
    <t>To Intrest on Bank Loan</t>
  </si>
  <si>
    <t>Libilities</t>
  </si>
  <si>
    <t>Assets</t>
  </si>
  <si>
    <t>In the Books of Tech limited.Preparation of Balance Sheet for the year ended 31st March 2026.</t>
  </si>
  <si>
    <t>Capital</t>
  </si>
  <si>
    <t>Current Liabilities:</t>
  </si>
  <si>
    <t>Devi suppliers (Creditors)</t>
  </si>
  <si>
    <t>Current Assets:</t>
  </si>
  <si>
    <t>Cash</t>
  </si>
  <si>
    <t>Bank</t>
  </si>
  <si>
    <t>Fixed Assets:</t>
  </si>
  <si>
    <t>Furniture &amp; Fixture</t>
  </si>
  <si>
    <t xml:space="preserve">Machinery </t>
  </si>
  <si>
    <t>Computer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</si>
  <si>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</si>
  <si>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</si>
  <si>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</si>
  <si>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</si>
  <si>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</si>
  <si>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</si>
  <si>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</si>
  <si>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</si>
  <si>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</si>
  <si>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</si>
  <si>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</si>
  <si>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</si>
  <si>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</si>
  <si>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</si>
  <si>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</si>
  <si>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</si>
  <si>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</si>
  <si>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</si>
  <si>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</si>
  <si>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</si>
  <si>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</si>
  <si>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</si>
  <si>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</si>
  <si>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</si>
  <si>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</si>
  <si>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</si>
  <si>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</si>
  <si>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</si>
  <si>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</si>
  <si>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</si>
  <si>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</si>
  <si>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</si>
  <si>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</si>
  <si>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</si>
  <si>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</si>
  <si>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</si>
  <si>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</si>
  <si>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</si>
  <si>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</si>
  <si>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</si>
  <si>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</si>
  <si>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</si>
  <si>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</si>
  <si>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</si>
  <si>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</si>
  <si>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</si>
  <si>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</si>
  <si>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</si>
  <si>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</si>
  <si>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</si>
  <si>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</si>
  <si>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</si>
  <si>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</si>
  <si>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</si>
  <si>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</si>
  <si>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</si>
  <si>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</si>
  <si>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</si>
  <si>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</si>
  <si>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</si>
  <si>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</si>
  <si>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</si>
  <si>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</si>
  <si>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Additional Adjustments (as on 31 March)</t>
  </si>
  <si>
    <t xml:space="preserve"> Closing Stock ₹1,75,000</t>
  </si>
  <si>
    <t xml:space="preserve"> Outstanding Salary ₹5,000</t>
  </si>
  <si>
    <t xml:space="preserve"> Prepaid Insurance ₹2,000</t>
  </si>
  <si>
    <t xml:space="preserve"> Depreciation on Machinery @10% p.a.</t>
  </si>
  <si>
    <t xml:space="preserve"> Depreciation on Furniture @10% p.a.</t>
  </si>
  <si>
    <t>Depreciation on Computer @20% p.a.</t>
  </si>
  <si>
    <t>To Net Profit</t>
  </si>
  <si>
    <t>Add:Outstanding Salaries</t>
  </si>
  <si>
    <t>Less:Prepaid Inscurance</t>
  </si>
  <si>
    <t>Adjustment.</t>
  </si>
  <si>
    <t>Furniture</t>
  </si>
  <si>
    <t>Machinery</t>
  </si>
  <si>
    <t>Depreciation on Machinery 10%</t>
  </si>
  <si>
    <t>Depreciation on Furniture 10%</t>
  </si>
  <si>
    <t>Depreciation on Computer 20%</t>
  </si>
  <si>
    <t>To Depreciaton on Machinery 10%</t>
  </si>
  <si>
    <t>To Depreciation on Furniture 10%</t>
  </si>
  <si>
    <t>To Depreciation on Computer 20%</t>
  </si>
  <si>
    <t>Add:Net profit</t>
  </si>
  <si>
    <t>Outstanding Salaries</t>
  </si>
  <si>
    <t>Prepaid Inscurance</t>
  </si>
  <si>
    <t>Less: Depriciation on Furniture 10%</t>
  </si>
  <si>
    <t>Less: Depriciation on Machinery 10%</t>
  </si>
  <si>
    <t>Less: Depriciation on Computer 20%</t>
  </si>
  <si>
    <t>Closing Stock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</si>
  <si>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₹9.78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</si>
  <si>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₹7.69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</si>
  <si>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₹7.69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</si>
  <si>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₹0.0785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</si>
  <si>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₹0.0728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</si>
  <si>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₹0.287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</si>
  <si>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0.449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</si>
  <si>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1.14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</si>
</sst>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2" tint="-0.89999084444715716"/>
      <name val="Aptos Display"/>
      <family val="2"/>
      <scheme val="major"/>
    </font>
    <font>
      <b/>
      <i/>
      <sz val="11"/>
      <color theme="9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17" fontId="0" fillId="0" borderId="0" xfId="0" applyNumberFormat="1"/>
    <xf numFmtId="3" fontId="0" fillId="0" borderId="0" xfId="0" applyNumberFormat="1"/>
    <xf numFmtId="0" fontId="3" fillId="0" borderId="0" xfId="0" applyFont="1" applyAlignment="1">
      <alignment wrapText="1"/>
    </xf>
    <xf numFmtId="164" fontId="0" fillId="0" borderId="0" xfId="1" applyNumberFormat="1" applyFont="1"/>
    <xf numFmtId="164" fontId="3" fillId="0" borderId="0" xfId="1" applyNumberFormat="1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164" fontId="4" fillId="0" borderId="2" xfId="1" applyNumberFormat="1" applyFont="1" applyBorder="1" applyAlignment="1">
      <alignment horizontal="center" wrapText="1"/>
    </xf>
    <xf numFmtId="14" fontId="0" fillId="0" borderId="3" xfId="0" applyNumberFormat="1" applyBorder="1"/>
    <xf numFmtId="164" fontId="0" fillId="0" borderId="0" xfId="1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1" applyNumberFormat="1" applyFont="1" applyBorder="1"/>
    <xf numFmtId="0" fontId="4" fillId="0" borderId="6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164" fontId="4" fillId="0" borderId="6" xfId="1" applyNumberFormat="1" applyFont="1" applyBorder="1" applyAlignment="1">
      <alignment horizontal="center" wrapText="1"/>
    </xf>
    <xf numFmtId="164" fontId="0" fillId="0" borderId="7" xfId="1" applyNumberFormat="1" applyFont="1" applyBorder="1"/>
    <xf numFmtId="164" fontId="0" fillId="0" borderId="8" xfId="1" applyNumberFormat="1" applyFont="1" applyBorder="1"/>
    <xf numFmtId="14" fontId="0" fillId="0" borderId="1" xfId="0" applyNumberFormat="1" applyBorder="1"/>
    <xf numFmtId="0" fontId="0" fillId="0" borderId="6" xfId="0" applyBorder="1"/>
    <xf numFmtId="0" fontId="0" fillId="0" borderId="2" xfId="0" applyBorder="1"/>
    <xf numFmtId="164" fontId="0" fillId="0" borderId="2" xfId="1" applyNumberFormat="1" applyFont="1" applyBorder="1"/>
    <xf numFmtId="164" fontId="0" fillId="0" borderId="6" xfId="1" applyNumberFormat="1" applyFont="1" applyBorder="1"/>
    <xf numFmtId="0" fontId="2" fillId="0" borderId="0" xfId="0" applyFont="1" applyAlignment="1">
      <alignment wrapText="1"/>
    </xf>
    <xf numFmtId="0" fontId="6" fillId="0" borderId="0" xfId="0" applyFont="1"/>
    <xf numFmtId="0" fontId="4" fillId="0" borderId="0" xfId="0" applyFont="1"/>
    <xf numFmtId="164" fontId="6" fillId="0" borderId="0" xfId="1" applyNumberFormat="1" applyFont="1"/>
    <xf numFmtId="164" fontId="4" fillId="0" borderId="0" xfId="1" applyNumberFormat="1" applyFont="1" applyAlignment="1">
      <alignment horizontal="right"/>
    </xf>
    <xf numFmtId="0" fontId="4" fillId="0" borderId="9" xfId="0" applyFont="1" applyBorder="1" applyAlignment="1">
      <alignment horizontal="center"/>
    </xf>
    <xf numFmtId="164" fontId="4" fillId="0" borderId="9" xfId="1" applyNumberFormat="1" applyFont="1" applyBorder="1" applyAlignment="1">
      <alignment horizontal="center"/>
    </xf>
    <xf numFmtId="14" fontId="0" fillId="0" borderId="9" xfId="0" applyNumberFormat="1" applyBorder="1"/>
    <xf numFmtId="0" fontId="0" fillId="0" borderId="9" xfId="0" applyBorder="1"/>
    <xf numFmtId="164" fontId="0" fillId="0" borderId="9" xfId="1" applyNumberFormat="1" applyFont="1" applyBorder="1"/>
    <xf numFmtId="164" fontId="5" fillId="0" borderId="9" xfId="1" applyNumberFormat="1" applyFont="1" applyBorder="1"/>
    <xf numFmtId="14" fontId="5" fillId="0" borderId="9" xfId="0" applyNumberFormat="1" applyFont="1" applyBorder="1"/>
    <xf numFmtId="0" fontId="5" fillId="0" borderId="9" xfId="0" applyFont="1" applyBorder="1"/>
    <xf numFmtId="164" fontId="1" fillId="0" borderId="9" xfId="1" applyNumberFormat="1" applyFont="1" applyBorder="1"/>
    <xf numFmtId="164" fontId="0" fillId="0" borderId="0" xfId="0" applyNumberFormat="1"/>
    <xf numFmtId="0" fontId="4" fillId="0" borderId="12" xfId="0" applyFont="1" applyBorder="1" applyAlignment="1">
      <alignment horizontal="center"/>
    </xf>
    <xf numFmtId="164" fontId="4" fillId="0" borderId="13" xfId="1" applyNumberFormat="1" applyFont="1" applyBorder="1" applyAlignment="1">
      <alignment horizontal="center"/>
    </xf>
    <xf numFmtId="0" fontId="0" fillId="0" borderId="12" xfId="0" applyBorder="1"/>
    <xf numFmtId="0" fontId="5" fillId="0" borderId="9" xfId="0" applyFont="1" applyBorder="1" applyAlignment="1">
      <alignment horizontal="center"/>
    </xf>
    <xf numFmtId="164" fontId="5" fillId="0" borderId="13" xfId="1" applyNumberFormat="1" applyFont="1" applyBorder="1"/>
    <xf numFmtId="164" fontId="4" fillId="0" borderId="0" xfId="1" applyNumberFormat="1" applyFont="1"/>
    <xf numFmtId="164" fontId="0" fillId="0" borderId="14" xfId="1" applyNumberFormat="1" applyFont="1" applyBorder="1"/>
    <xf numFmtId="164" fontId="0" fillId="0" borderId="15" xfId="1" applyNumberFormat="1" applyFont="1" applyBorder="1"/>
    <xf numFmtId="164" fontId="5" fillId="0" borderId="0" xfId="1" applyNumberFormat="1" applyFont="1" applyBorder="1"/>
    <xf numFmtId="164" fontId="5" fillId="0" borderId="7" xfId="1" applyNumberFormat="1" applyFont="1" applyBorder="1"/>
    <xf numFmtId="164" fontId="1" fillId="0" borderId="7" xfId="1" applyNumberFormat="1" applyFont="1" applyBorder="1"/>
    <xf numFmtId="164" fontId="1" fillId="0" borderId="0" xfId="1" applyNumberFormat="1" applyFont="1" applyBorder="1"/>
    <xf numFmtId="164" fontId="1" fillId="0" borderId="15" xfId="1" applyNumberFormat="1" applyFont="1" applyBorder="1"/>
    <xf numFmtId="164" fontId="1" fillId="0" borderId="8" xfId="1" applyNumberFormat="1" applyFont="1" applyBorder="1"/>
    <xf numFmtId="164" fontId="1" fillId="0" borderId="6" xfId="1" applyNumberFormat="1" applyFont="1" applyBorder="1"/>
    <xf numFmtId="164" fontId="5" fillId="0" borderId="9" xfId="0" applyNumberFormat="1" applyFont="1" applyBorder="1"/>
    <xf numFmtId="164" fontId="9" fillId="0" borderId="7" xfId="1" applyNumberFormat="1" applyFont="1" applyFill="1" applyBorder="1"/>
    <xf numFmtId="43" fontId="10" fillId="0" borderId="7" xfId="1" applyFont="1" applyFill="1" applyBorder="1"/>
    <xf numFmtId="164" fontId="9" fillId="0" borderId="9" xfId="1" applyNumberFormat="1" applyFont="1" applyFill="1" applyBorder="1"/>
    <xf numFmtId="164" fontId="10" fillId="0" borderId="7" xfId="1" applyNumberFormat="1" applyFont="1" applyFill="1" applyBorder="1" applyAlignment="1">
      <alignment wrapText="1"/>
    </xf>
    <xf numFmtId="43" fontId="9" fillId="0" borderId="9" xfId="1" applyFont="1" applyFill="1" applyBorder="1"/>
    <xf numFmtId="164" fontId="10" fillId="0" borderId="7" xfId="1" applyNumberFormat="1" applyFont="1" applyFill="1" applyBorder="1"/>
    <xf numFmtId="165" fontId="10" fillId="0" borderId="7" xfId="1" applyNumberFormat="1" applyFont="1" applyFill="1" applyBorder="1"/>
    <xf numFmtId="166" fontId="10" fillId="0" borderId="7" xfId="1" applyNumberFormat="1" applyFont="1" applyFill="1" applyBorder="1"/>
    <xf numFmtId="164" fontId="10" fillId="0" borderId="7" xfId="1" applyNumberFormat="1" applyFont="1" applyFill="1" applyBorder="1" applyAlignment="1"/>
    <xf numFmtId="166" fontId="10" fillId="0" borderId="8" xfId="1" applyNumberFormat="1" applyFont="1" applyFill="1" applyBorder="1"/>
    <xf numFmtId="0" fontId="0" fillId="0" borderId="1" xfId="0" applyBorder="1"/>
    <xf numFmtId="164" fontId="5" fillId="0" borderId="15" xfId="1" applyNumberFormat="1" applyFont="1" applyBorder="1"/>
    <xf numFmtId="0" fontId="7" fillId="0" borderId="6" xfId="0" applyFont="1" applyBorder="1" applyAlignment="1">
      <alignment horizontal="center"/>
    </xf>
    <xf numFmtId="0" fontId="9" fillId="0" borderId="8" xfId="0" applyFont="1" applyBorder="1"/>
    <xf numFmtId="0" fontId="10" fillId="0" borderId="10" xfId="0" applyFont="1" applyBorder="1"/>
    <xf numFmtId="0" fontId="10" fillId="0" borderId="7" xfId="0" applyFont="1" applyBorder="1"/>
    <xf numFmtId="0" fontId="9" fillId="0" borderId="7" xfId="0" applyFont="1" applyBorder="1"/>
    <xf numFmtId="0" fontId="9" fillId="0" borderId="10" xfId="0" applyFont="1" applyBorder="1" applyAlignment="1">
      <alignment horizontal="right"/>
    </xf>
    <xf numFmtId="0" fontId="9" fillId="0" borderId="7" xfId="0" applyFont="1" applyBorder="1" applyAlignment="1">
      <alignment wrapText="1"/>
    </xf>
    <xf numFmtId="0" fontId="9" fillId="0" borderId="9" xfId="0" applyFont="1" applyBorder="1"/>
    <xf numFmtId="0" fontId="9" fillId="0" borderId="10" xfId="0" applyFont="1" applyBorder="1"/>
    <xf numFmtId="0" fontId="9" fillId="0" borderId="9" xfId="0" applyFont="1" applyBorder="1" applyAlignment="1">
      <alignment horizontal="right"/>
    </xf>
    <xf numFmtId="0" fontId="10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1" xfId="0" applyFont="1" applyBorder="1" applyAlignment="1">
      <alignment horizontal="right"/>
    </xf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BEB1-F9D4-4263-8708-2D399B646204}">
  <dimension ref="A1:M42"/>
  <sheetViews>
    <sheetView topLeftCell="A21" workbookViewId="0">
      <selection activeCell="C43" sqref="C43"/>
    </sheetView>
  </sheetViews>
  <sheetFormatPr defaultRowHeight="14.4" x14ac:dyDescent="0.3"/>
  <cols>
    <col min="1" max="1" width="3" bestFit="1" customWidth="1"/>
    <col min="2" max="2" width="6.88671875" bestFit="1" customWidth="1"/>
    <col min="3" max="3" width="38.5546875" customWidth="1"/>
    <col min="4" max="4" width="9.109375" bestFit="1" customWidth="1"/>
    <col min="5" max="13" width="10" customWidth="1"/>
  </cols>
  <sheetData>
    <row r="1" spans="1:13" x14ac:dyDescent="0.3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x14ac:dyDescent="0.3">
      <c r="A2" s="86" t="s">
        <v>1</v>
      </c>
      <c r="B2" s="86"/>
      <c r="C2" s="86"/>
      <c r="D2" s="86"/>
      <c r="E2" s="86"/>
    </row>
    <row r="3" spans="1:13" x14ac:dyDescent="0.3">
      <c r="A3" s="86" t="s">
        <v>2</v>
      </c>
      <c r="B3" s="86"/>
      <c r="C3" s="86"/>
      <c r="D3" s="86"/>
      <c r="E3" s="86"/>
    </row>
    <row r="4" spans="1:13" x14ac:dyDescent="0.3">
      <c r="A4">
        <v>1</v>
      </c>
      <c r="B4" s="1">
        <v>36982</v>
      </c>
      <c r="C4" t="s">
        <v>3</v>
      </c>
      <c r="D4" s="2">
        <v>1000000</v>
      </c>
    </row>
    <row r="5" spans="1:13" x14ac:dyDescent="0.3">
      <c r="A5">
        <v>2</v>
      </c>
      <c r="B5" s="1">
        <v>37712</v>
      </c>
      <c r="C5" t="s">
        <v>4</v>
      </c>
      <c r="D5" s="2">
        <v>80000</v>
      </c>
    </row>
    <row r="6" spans="1:13" x14ac:dyDescent="0.3">
      <c r="A6">
        <v>3</v>
      </c>
      <c r="B6" s="1">
        <v>38443</v>
      </c>
      <c r="C6" t="s">
        <v>5</v>
      </c>
      <c r="D6" s="2">
        <v>250000</v>
      </c>
    </row>
    <row r="7" spans="1:13" x14ac:dyDescent="0.3">
      <c r="A7">
        <v>4</v>
      </c>
      <c r="B7" s="1">
        <v>40269</v>
      </c>
      <c r="C7" t="s">
        <v>6</v>
      </c>
      <c r="D7" s="2">
        <v>120000</v>
      </c>
    </row>
    <row r="8" spans="1:13" x14ac:dyDescent="0.3">
      <c r="A8">
        <v>5</v>
      </c>
      <c r="B8" s="1">
        <v>42095</v>
      </c>
      <c r="C8" t="s">
        <v>7</v>
      </c>
      <c r="D8" s="2">
        <v>60000</v>
      </c>
    </row>
    <row r="9" spans="1:13" x14ac:dyDescent="0.3">
      <c r="A9">
        <v>6</v>
      </c>
      <c r="B9" s="1">
        <v>43191</v>
      </c>
      <c r="C9" t="s">
        <v>8</v>
      </c>
      <c r="D9" s="2">
        <v>5000</v>
      </c>
    </row>
    <row r="10" spans="1:13" x14ac:dyDescent="0.3">
      <c r="A10">
        <v>7</v>
      </c>
      <c r="B10" s="1">
        <v>45748</v>
      </c>
      <c r="C10" t="s">
        <v>9</v>
      </c>
      <c r="D10" s="2">
        <v>90000</v>
      </c>
    </row>
    <row r="11" spans="1:13" x14ac:dyDescent="0.3">
      <c r="A11">
        <v>8</v>
      </c>
      <c r="B11" s="1">
        <v>37377</v>
      </c>
      <c r="C11" t="s">
        <v>10</v>
      </c>
      <c r="D11" s="2">
        <v>150000</v>
      </c>
    </row>
    <row r="12" spans="1:13" x14ac:dyDescent="0.3">
      <c r="A12">
        <v>9</v>
      </c>
      <c r="B12" s="1">
        <v>40299</v>
      </c>
      <c r="C12" t="s">
        <v>11</v>
      </c>
      <c r="D12" s="2">
        <v>10000</v>
      </c>
    </row>
    <row r="13" spans="1:13" x14ac:dyDescent="0.3">
      <c r="A13">
        <v>10</v>
      </c>
      <c r="B13" s="1">
        <v>42125</v>
      </c>
      <c r="C13" t="s">
        <v>12</v>
      </c>
      <c r="D13" s="2">
        <v>15000</v>
      </c>
    </row>
    <row r="14" spans="1:13" x14ac:dyDescent="0.3">
      <c r="A14">
        <v>11</v>
      </c>
      <c r="B14" s="1">
        <v>37043</v>
      </c>
      <c r="C14" t="s">
        <v>13</v>
      </c>
      <c r="D14" s="2">
        <v>30000</v>
      </c>
    </row>
    <row r="15" spans="1:13" x14ac:dyDescent="0.3">
      <c r="A15">
        <v>12</v>
      </c>
      <c r="B15" s="1">
        <v>40330</v>
      </c>
      <c r="C15" t="s">
        <v>14</v>
      </c>
      <c r="D15" s="2">
        <v>24000</v>
      </c>
    </row>
    <row r="16" spans="1:13" x14ac:dyDescent="0.3">
      <c r="A16">
        <v>13</v>
      </c>
      <c r="B16" s="1">
        <v>38534</v>
      </c>
      <c r="C16" t="s">
        <v>15</v>
      </c>
      <c r="D16" s="2">
        <v>130000</v>
      </c>
    </row>
    <row r="17" spans="1:4" x14ac:dyDescent="0.3">
      <c r="A17">
        <v>14</v>
      </c>
      <c r="B17" s="1">
        <v>38534</v>
      </c>
      <c r="C17" t="s">
        <v>16</v>
      </c>
      <c r="D17" s="2">
        <v>5000</v>
      </c>
    </row>
    <row r="18" spans="1:4" x14ac:dyDescent="0.3">
      <c r="A18">
        <v>15</v>
      </c>
      <c r="B18" s="1">
        <v>37104</v>
      </c>
      <c r="C18" t="s">
        <v>17</v>
      </c>
      <c r="D18" s="2">
        <v>108000</v>
      </c>
    </row>
    <row r="19" spans="1:4" x14ac:dyDescent="0.3">
      <c r="A19">
        <v>16</v>
      </c>
      <c r="B19" s="1">
        <v>37104</v>
      </c>
      <c r="C19" t="s">
        <v>18</v>
      </c>
      <c r="D19" s="2">
        <v>2000</v>
      </c>
    </row>
    <row r="20" spans="1:4" x14ac:dyDescent="0.3">
      <c r="A20">
        <v>17</v>
      </c>
      <c r="B20" s="1">
        <v>38596</v>
      </c>
      <c r="C20" t="s">
        <v>19</v>
      </c>
      <c r="D20" s="2">
        <v>50000</v>
      </c>
    </row>
    <row r="21" spans="1:4" x14ac:dyDescent="0.3">
      <c r="A21">
        <v>18</v>
      </c>
      <c r="B21" s="1">
        <v>37165</v>
      </c>
      <c r="C21" t="s">
        <v>20</v>
      </c>
      <c r="D21" s="2">
        <v>12000</v>
      </c>
    </row>
    <row r="22" spans="1:4" x14ac:dyDescent="0.3">
      <c r="A22">
        <v>19</v>
      </c>
      <c r="B22" s="1">
        <v>40452</v>
      </c>
      <c r="C22" t="s">
        <v>21</v>
      </c>
      <c r="D22" s="2">
        <v>8000</v>
      </c>
    </row>
    <row r="23" spans="1:4" x14ac:dyDescent="0.3">
      <c r="A23">
        <v>20</v>
      </c>
      <c r="B23" s="1">
        <v>38657</v>
      </c>
      <c r="C23" t="s">
        <v>22</v>
      </c>
      <c r="D23" s="2">
        <v>9000</v>
      </c>
    </row>
    <row r="24" spans="1:4" x14ac:dyDescent="0.3">
      <c r="A24">
        <v>21</v>
      </c>
      <c r="B24" s="1">
        <v>37226</v>
      </c>
      <c r="C24" t="s">
        <v>23</v>
      </c>
      <c r="D24" s="2">
        <v>80000</v>
      </c>
    </row>
    <row r="25" spans="1:4" x14ac:dyDescent="0.3">
      <c r="A25">
        <v>22</v>
      </c>
      <c r="B25" s="1">
        <v>42339</v>
      </c>
      <c r="C25" t="s">
        <v>24</v>
      </c>
      <c r="D25" s="2">
        <v>110000</v>
      </c>
    </row>
    <row r="26" spans="1:4" x14ac:dyDescent="0.3">
      <c r="A26">
        <v>23</v>
      </c>
      <c r="B26" s="1">
        <v>38353</v>
      </c>
      <c r="C26" t="s">
        <v>25</v>
      </c>
      <c r="D26" s="2">
        <v>105000</v>
      </c>
    </row>
    <row r="27" spans="1:4" x14ac:dyDescent="0.3">
      <c r="A27">
        <v>24</v>
      </c>
      <c r="B27" s="1">
        <v>38353</v>
      </c>
      <c r="C27" t="s">
        <v>26</v>
      </c>
      <c r="D27" s="2">
        <v>5000</v>
      </c>
    </row>
    <row r="28" spans="1:4" x14ac:dyDescent="0.3">
      <c r="A28">
        <v>25</v>
      </c>
      <c r="B28" s="1">
        <v>36923</v>
      </c>
      <c r="C28" t="s">
        <v>27</v>
      </c>
      <c r="D28" s="2">
        <v>20000</v>
      </c>
    </row>
    <row r="29" spans="1:4" x14ac:dyDescent="0.3">
      <c r="A29">
        <v>26</v>
      </c>
      <c r="B29" s="1">
        <v>40210</v>
      </c>
      <c r="C29" t="s">
        <v>28</v>
      </c>
      <c r="D29" s="2">
        <v>15000</v>
      </c>
    </row>
    <row r="30" spans="1:4" x14ac:dyDescent="0.3">
      <c r="A30">
        <v>27</v>
      </c>
      <c r="B30" s="1">
        <v>42064</v>
      </c>
      <c r="C30" t="s">
        <v>29</v>
      </c>
      <c r="D30" s="2">
        <v>6000</v>
      </c>
    </row>
    <row r="31" spans="1:4" x14ac:dyDescent="0.3">
      <c r="A31">
        <v>28</v>
      </c>
      <c r="B31" s="1">
        <v>43891</v>
      </c>
      <c r="C31" t="s">
        <v>30</v>
      </c>
      <c r="D31" s="2">
        <v>10000</v>
      </c>
    </row>
    <row r="32" spans="1:4" x14ac:dyDescent="0.3">
      <c r="A32">
        <v>29</v>
      </c>
      <c r="B32" s="1">
        <v>45717</v>
      </c>
      <c r="C32" t="s">
        <v>31</v>
      </c>
      <c r="D32" s="2">
        <v>4000</v>
      </c>
    </row>
    <row r="33" spans="1:4" x14ac:dyDescent="0.3">
      <c r="A33">
        <v>30</v>
      </c>
      <c r="B33" s="1">
        <v>47908</v>
      </c>
      <c r="C33" t="s">
        <v>32</v>
      </c>
      <c r="D33" s="2">
        <v>8000</v>
      </c>
    </row>
    <row r="36" spans="1:4" x14ac:dyDescent="0.3">
      <c r="A36" s="86" t="s">
        <v>296</v>
      </c>
      <c r="B36" s="86"/>
      <c r="C36" s="86"/>
    </row>
    <row r="37" spans="1:4" x14ac:dyDescent="0.3">
      <c r="B37">
        <v>1</v>
      </c>
      <c r="C37" t="s">
        <v>297</v>
      </c>
    </row>
    <row r="38" spans="1:4" x14ac:dyDescent="0.3">
      <c r="B38">
        <v>2</v>
      </c>
      <c r="C38" t="s">
        <v>298</v>
      </c>
    </row>
    <row r="39" spans="1:4" x14ac:dyDescent="0.3">
      <c r="B39">
        <v>3</v>
      </c>
      <c r="C39" t="s">
        <v>299</v>
      </c>
    </row>
    <row r="40" spans="1:4" x14ac:dyDescent="0.3">
      <c r="B40">
        <v>4</v>
      </c>
      <c r="C40" t="s">
        <v>300</v>
      </c>
    </row>
    <row r="41" spans="1:4" x14ac:dyDescent="0.3">
      <c r="B41">
        <v>5</v>
      </c>
      <c r="C41" t="s">
        <v>301</v>
      </c>
    </row>
    <row r="42" spans="1:4" x14ac:dyDescent="0.3">
      <c r="B42">
        <v>6</v>
      </c>
      <c r="C42" t="s">
        <v>302</v>
      </c>
    </row>
  </sheetData>
  <mergeCells count="4">
    <mergeCell ref="A1:M1"/>
    <mergeCell ref="A3:E3"/>
    <mergeCell ref="A2:E2"/>
    <mergeCell ref="A36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381B-10C4-4EB2-9F08-A3E936082844}">
  <dimension ref="A1:F93"/>
  <sheetViews>
    <sheetView zoomScaleNormal="100" workbookViewId="0">
      <selection sqref="A1:F1"/>
    </sheetView>
  </sheetViews>
  <sheetFormatPr defaultRowHeight="14.4" x14ac:dyDescent="0.3"/>
  <cols>
    <col min="1" max="1" width="12" customWidth="1"/>
    <col min="2" max="2" width="44.77734375" bestFit="1" customWidth="1"/>
    <col min="3" max="4" width="6.88671875" customWidth="1"/>
    <col min="5" max="6" width="20.77734375" style="4" customWidth="1"/>
  </cols>
  <sheetData>
    <row r="1" spans="1:6" ht="43.2" customHeight="1" x14ac:dyDescent="0.3">
      <c r="A1" s="87" t="s">
        <v>33</v>
      </c>
      <c r="B1" s="87"/>
      <c r="C1" s="87"/>
      <c r="D1" s="87"/>
      <c r="E1" s="87"/>
      <c r="F1" s="87"/>
    </row>
    <row r="2" spans="1:6" x14ac:dyDescent="0.3">
      <c r="A2" s="3"/>
      <c r="B2" s="3"/>
      <c r="C2" s="3"/>
      <c r="D2" s="3"/>
      <c r="E2" s="5"/>
      <c r="F2" s="5"/>
    </row>
    <row r="3" spans="1:6" ht="15.6" x14ac:dyDescent="0.3">
      <c r="A3" s="6" t="s">
        <v>34</v>
      </c>
      <c r="B3" s="15" t="s">
        <v>35</v>
      </c>
      <c r="C3" s="7"/>
      <c r="D3" s="15" t="s">
        <v>36</v>
      </c>
      <c r="E3" s="8" t="s">
        <v>37</v>
      </c>
      <c r="F3" s="18" t="s">
        <v>38</v>
      </c>
    </row>
    <row r="4" spans="1:6" x14ac:dyDescent="0.3">
      <c r="A4" s="21">
        <v>45748</v>
      </c>
      <c r="B4" s="22" t="s">
        <v>39</v>
      </c>
      <c r="C4" s="23" t="s">
        <v>40</v>
      </c>
      <c r="D4" s="22"/>
      <c r="E4" s="24">
        <v>1000000</v>
      </c>
      <c r="F4" s="25"/>
    </row>
    <row r="5" spans="1:6" x14ac:dyDescent="0.3">
      <c r="A5" s="11"/>
      <c r="B5" s="16" t="s">
        <v>41</v>
      </c>
      <c r="D5" s="16"/>
      <c r="E5" s="10"/>
      <c r="F5" s="19">
        <v>1000000</v>
      </c>
    </row>
    <row r="6" spans="1:6" x14ac:dyDescent="0.3">
      <c r="A6" s="12"/>
      <c r="B6" s="17" t="s">
        <v>42</v>
      </c>
      <c r="C6" s="13"/>
      <c r="D6" s="17"/>
      <c r="E6" s="14"/>
      <c r="F6" s="20"/>
    </row>
    <row r="7" spans="1:6" x14ac:dyDescent="0.3">
      <c r="A7" s="9">
        <v>45750</v>
      </c>
      <c r="B7" s="16" t="s">
        <v>43</v>
      </c>
      <c r="C7" t="s">
        <v>40</v>
      </c>
      <c r="D7" s="16"/>
      <c r="E7" s="10">
        <v>80000</v>
      </c>
      <c r="F7" s="19"/>
    </row>
    <row r="8" spans="1:6" x14ac:dyDescent="0.3">
      <c r="A8" s="11"/>
      <c r="B8" s="16" t="s">
        <v>44</v>
      </c>
      <c r="D8" s="16"/>
      <c r="E8" s="10"/>
      <c r="F8" s="19">
        <v>80000</v>
      </c>
    </row>
    <row r="9" spans="1:6" x14ac:dyDescent="0.3">
      <c r="A9" s="11"/>
      <c r="B9" s="16" t="s">
        <v>45</v>
      </c>
      <c r="D9" s="16"/>
      <c r="E9" s="10"/>
      <c r="F9" s="19"/>
    </row>
    <row r="10" spans="1:6" x14ac:dyDescent="0.3">
      <c r="A10" s="21">
        <v>45752</v>
      </c>
      <c r="B10" s="22" t="s">
        <v>46</v>
      </c>
      <c r="C10" s="23" t="s">
        <v>40</v>
      </c>
      <c r="D10" s="22"/>
      <c r="E10" s="24">
        <v>250000</v>
      </c>
      <c r="F10" s="25"/>
    </row>
    <row r="11" spans="1:6" x14ac:dyDescent="0.3">
      <c r="A11" s="11"/>
      <c r="B11" s="16" t="s">
        <v>47</v>
      </c>
      <c r="D11" s="16"/>
      <c r="E11" s="10"/>
      <c r="F11" s="19">
        <v>250000</v>
      </c>
    </row>
    <row r="12" spans="1:6" x14ac:dyDescent="0.3">
      <c r="A12" s="12"/>
      <c r="B12" s="17" t="s">
        <v>48</v>
      </c>
      <c r="C12" s="13"/>
      <c r="D12" s="17"/>
      <c r="E12" s="14"/>
      <c r="F12" s="20"/>
    </row>
    <row r="13" spans="1:6" x14ac:dyDescent="0.3">
      <c r="A13" s="9">
        <v>45757</v>
      </c>
      <c r="B13" s="16" t="s">
        <v>49</v>
      </c>
      <c r="C13" t="s">
        <v>40</v>
      </c>
      <c r="D13" s="16"/>
      <c r="E13" s="10">
        <v>120000</v>
      </c>
      <c r="F13" s="19"/>
    </row>
    <row r="14" spans="1:6" x14ac:dyDescent="0.3">
      <c r="A14" s="11"/>
      <c r="B14" s="16" t="s">
        <v>50</v>
      </c>
      <c r="D14" s="16"/>
      <c r="E14" s="10"/>
      <c r="F14" s="19">
        <v>120000</v>
      </c>
    </row>
    <row r="15" spans="1:6" x14ac:dyDescent="0.3">
      <c r="A15" s="11"/>
      <c r="B15" s="16" t="s">
        <v>51</v>
      </c>
      <c r="D15" s="16"/>
      <c r="E15" s="10"/>
      <c r="F15" s="19"/>
    </row>
    <row r="16" spans="1:6" x14ac:dyDescent="0.3">
      <c r="A16" s="21">
        <v>45762</v>
      </c>
      <c r="B16" s="22" t="s">
        <v>49</v>
      </c>
      <c r="C16" s="23" t="s">
        <v>40</v>
      </c>
      <c r="D16" s="22"/>
      <c r="E16" s="24">
        <v>60000</v>
      </c>
      <c r="F16" s="25"/>
    </row>
    <row r="17" spans="1:6" x14ac:dyDescent="0.3">
      <c r="A17" s="11"/>
      <c r="B17" s="16" t="s">
        <v>44</v>
      </c>
      <c r="D17" s="16"/>
      <c r="E17" s="10"/>
      <c r="F17" s="19">
        <v>60000</v>
      </c>
    </row>
    <row r="18" spans="1:6" x14ac:dyDescent="0.3">
      <c r="A18" s="12"/>
      <c r="B18" s="17" t="s">
        <v>52</v>
      </c>
      <c r="C18" s="13"/>
      <c r="D18" s="17"/>
      <c r="E18" s="14"/>
      <c r="F18" s="20"/>
    </row>
    <row r="19" spans="1:6" x14ac:dyDescent="0.3">
      <c r="A19" s="9">
        <v>45765</v>
      </c>
      <c r="B19" s="16" t="s">
        <v>53</v>
      </c>
      <c r="C19" t="s">
        <v>40</v>
      </c>
      <c r="D19" s="16"/>
      <c r="E19" s="10">
        <v>5000</v>
      </c>
      <c r="F19" s="19"/>
    </row>
    <row r="20" spans="1:6" x14ac:dyDescent="0.3">
      <c r="A20" s="11"/>
      <c r="B20" s="16" t="s">
        <v>44</v>
      </c>
      <c r="D20" s="16"/>
      <c r="E20" s="10"/>
      <c r="F20" s="19">
        <v>5000</v>
      </c>
    </row>
    <row r="21" spans="1:6" x14ac:dyDescent="0.3">
      <c r="A21" s="11"/>
      <c r="B21" s="16" t="s">
        <v>54</v>
      </c>
      <c r="D21" s="16"/>
      <c r="E21" s="10"/>
      <c r="F21" s="19"/>
    </row>
    <row r="22" spans="1:6" x14ac:dyDescent="0.3">
      <c r="A22" s="21">
        <v>45772</v>
      </c>
      <c r="B22" s="22" t="s">
        <v>55</v>
      </c>
      <c r="C22" s="23" t="s">
        <v>40</v>
      </c>
      <c r="D22" s="22"/>
      <c r="E22" s="24">
        <v>90000</v>
      </c>
      <c r="F22" s="25"/>
    </row>
    <row r="23" spans="1:6" x14ac:dyDescent="0.3">
      <c r="A23" s="11"/>
      <c r="B23" s="16" t="s">
        <v>56</v>
      </c>
      <c r="D23" s="16"/>
      <c r="E23" s="10"/>
      <c r="F23" s="19">
        <v>90000</v>
      </c>
    </row>
    <row r="24" spans="1:6" x14ac:dyDescent="0.3">
      <c r="A24" s="12"/>
      <c r="B24" s="17" t="s">
        <v>57</v>
      </c>
      <c r="C24" s="13"/>
      <c r="D24" s="17"/>
      <c r="E24" s="14"/>
      <c r="F24" s="20"/>
    </row>
    <row r="25" spans="1:6" x14ac:dyDescent="0.3">
      <c r="A25" s="9">
        <v>45779</v>
      </c>
      <c r="B25" s="16" t="s">
        <v>58</v>
      </c>
      <c r="C25" t="s">
        <v>40</v>
      </c>
      <c r="D25" s="16"/>
      <c r="E25" s="10">
        <v>150000</v>
      </c>
      <c r="F25" s="19"/>
    </row>
    <row r="26" spans="1:6" x14ac:dyDescent="0.3">
      <c r="A26" s="11"/>
      <c r="B26" s="16" t="s">
        <v>56</v>
      </c>
      <c r="D26" s="16"/>
      <c r="E26" s="10"/>
      <c r="F26" s="19">
        <v>150000</v>
      </c>
    </row>
    <row r="27" spans="1:6" x14ac:dyDescent="0.3">
      <c r="A27" s="11"/>
      <c r="B27" s="16" t="s">
        <v>59</v>
      </c>
      <c r="D27" s="16"/>
      <c r="E27" s="10"/>
      <c r="F27" s="19"/>
    </row>
    <row r="28" spans="1:6" x14ac:dyDescent="0.3">
      <c r="A28" s="21">
        <v>45787</v>
      </c>
      <c r="B28" s="22" t="s">
        <v>60</v>
      </c>
      <c r="C28" s="23" t="s">
        <v>40</v>
      </c>
      <c r="D28" s="22"/>
      <c r="E28" s="24">
        <v>10000</v>
      </c>
      <c r="F28" s="25"/>
    </row>
    <row r="29" spans="1:6" x14ac:dyDescent="0.3">
      <c r="A29" s="11"/>
      <c r="B29" s="16" t="s">
        <v>61</v>
      </c>
      <c r="D29" s="16"/>
      <c r="E29" s="10"/>
      <c r="F29" s="19">
        <v>10000</v>
      </c>
    </row>
    <row r="30" spans="1:6" x14ac:dyDescent="0.3">
      <c r="A30" s="12"/>
      <c r="B30" s="17" t="s">
        <v>64</v>
      </c>
      <c r="C30" s="13"/>
      <c r="D30" s="17"/>
      <c r="E30" s="14"/>
      <c r="F30" s="20"/>
    </row>
    <row r="31" spans="1:6" x14ac:dyDescent="0.3">
      <c r="A31" s="9">
        <v>45792</v>
      </c>
      <c r="B31" s="16" t="s">
        <v>62</v>
      </c>
      <c r="C31" t="s">
        <v>40</v>
      </c>
      <c r="D31" s="16"/>
      <c r="E31" s="10">
        <v>15000</v>
      </c>
      <c r="F31" s="19"/>
    </row>
    <row r="32" spans="1:6" x14ac:dyDescent="0.3">
      <c r="A32" s="11"/>
      <c r="B32" s="16" t="s">
        <v>63</v>
      </c>
      <c r="D32" s="16"/>
      <c r="E32" s="10"/>
      <c r="F32" s="19">
        <v>15000</v>
      </c>
    </row>
    <row r="33" spans="1:6" x14ac:dyDescent="0.3">
      <c r="A33" s="11"/>
      <c r="B33" s="16" t="s">
        <v>65</v>
      </c>
      <c r="D33" s="16"/>
      <c r="E33" s="10"/>
      <c r="F33" s="19"/>
    </row>
    <row r="34" spans="1:6" x14ac:dyDescent="0.3">
      <c r="A34" s="21">
        <v>45809</v>
      </c>
      <c r="B34" s="22" t="s">
        <v>66</v>
      </c>
      <c r="C34" s="23" t="s">
        <v>40</v>
      </c>
      <c r="D34" s="22"/>
      <c r="E34" s="24">
        <v>30000</v>
      </c>
      <c r="F34" s="25"/>
    </row>
    <row r="35" spans="1:6" x14ac:dyDescent="0.3">
      <c r="A35" s="11"/>
      <c r="B35" s="16" t="s">
        <v>44</v>
      </c>
      <c r="D35" s="16"/>
      <c r="E35" s="10"/>
      <c r="F35" s="19">
        <v>30000</v>
      </c>
    </row>
    <row r="36" spans="1:6" x14ac:dyDescent="0.3">
      <c r="A36" s="12"/>
      <c r="B36" s="17" t="s">
        <v>67</v>
      </c>
      <c r="C36" s="13"/>
      <c r="D36" s="17"/>
      <c r="E36" s="14"/>
      <c r="F36" s="20"/>
    </row>
    <row r="37" spans="1:6" x14ac:dyDescent="0.3">
      <c r="A37" s="9">
        <v>45818</v>
      </c>
      <c r="B37" s="16" t="s">
        <v>68</v>
      </c>
      <c r="C37" t="s">
        <v>40</v>
      </c>
      <c r="D37" s="16"/>
      <c r="E37" s="10">
        <v>24000</v>
      </c>
      <c r="F37" s="19"/>
    </row>
    <row r="38" spans="1:6" x14ac:dyDescent="0.3">
      <c r="A38" s="11"/>
      <c r="B38" s="16" t="s">
        <v>47</v>
      </c>
      <c r="D38" s="16"/>
      <c r="E38" s="10"/>
      <c r="F38" s="19">
        <v>24000</v>
      </c>
    </row>
    <row r="39" spans="1:6" x14ac:dyDescent="0.3">
      <c r="A39" s="11"/>
      <c r="B39" s="16" t="s">
        <v>69</v>
      </c>
      <c r="D39" s="16"/>
      <c r="E39" s="10"/>
      <c r="F39" s="19"/>
    </row>
    <row r="40" spans="1:6" x14ac:dyDescent="0.3">
      <c r="A40" s="21">
        <v>45843</v>
      </c>
      <c r="B40" s="22" t="s">
        <v>55</v>
      </c>
      <c r="C40" s="23" t="s">
        <v>40</v>
      </c>
      <c r="D40" s="22"/>
      <c r="E40" s="24">
        <v>130000</v>
      </c>
      <c r="F40" s="25"/>
    </row>
    <row r="41" spans="1:6" x14ac:dyDescent="0.3">
      <c r="A41" s="11"/>
      <c r="B41" s="16" t="s">
        <v>63</v>
      </c>
      <c r="D41" s="16"/>
      <c r="E41" s="10"/>
      <c r="F41" s="19">
        <v>130000</v>
      </c>
    </row>
    <row r="42" spans="1:6" x14ac:dyDescent="0.3">
      <c r="A42" s="12"/>
      <c r="B42" s="17" t="s">
        <v>70</v>
      </c>
      <c r="C42" s="13"/>
      <c r="D42" s="17"/>
      <c r="E42" s="14"/>
      <c r="F42" s="20"/>
    </row>
    <row r="43" spans="1:6" x14ac:dyDescent="0.3">
      <c r="A43" s="9">
        <v>45843</v>
      </c>
      <c r="B43" s="16" t="s">
        <v>71</v>
      </c>
      <c r="C43" t="s">
        <v>40</v>
      </c>
      <c r="D43" s="16"/>
      <c r="E43" s="10">
        <v>5000</v>
      </c>
      <c r="F43" s="19"/>
    </row>
    <row r="44" spans="1:6" x14ac:dyDescent="0.3">
      <c r="A44" s="11"/>
      <c r="B44" s="16" t="s">
        <v>63</v>
      </c>
      <c r="D44" s="16"/>
      <c r="E44" s="10"/>
      <c r="F44" s="19">
        <v>5000</v>
      </c>
    </row>
    <row r="45" spans="1:6" x14ac:dyDescent="0.3">
      <c r="A45" s="11"/>
      <c r="B45" s="16" t="s">
        <v>72</v>
      </c>
      <c r="D45" s="16"/>
      <c r="E45" s="10"/>
      <c r="F45" s="19"/>
    </row>
    <row r="46" spans="1:6" x14ac:dyDescent="0.3">
      <c r="A46" s="21">
        <v>45870</v>
      </c>
      <c r="B46" s="22" t="s">
        <v>60</v>
      </c>
      <c r="C46" s="23" t="s">
        <v>40</v>
      </c>
      <c r="D46" s="22"/>
      <c r="E46" s="24">
        <v>108000</v>
      </c>
      <c r="F46" s="25"/>
    </row>
    <row r="47" spans="1:6" x14ac:dyDescent="0.3">
      <c r="A47" s="11"/>
      <c r="B47" s="16" t="s">
        <v>47</v>
      </c>
      <c r="D47" s="16"/>
      <c r="E47" s="10"/>
      <c r="F47" s="19">
        <v>108000</v>
      </c>
    </row>
    <row r="48" spans="1:6" x14ac:dyDescent="0.3">
      <c r="A48" s="12"/>
      <c r="B48" s="17" t="s">
        <v>73</v>
      </c>
      <c r="C48" s="13"/>
      <c r="D48" s="17"/>
      <c r="E48" s="14"/>
      <c r="F48" s="20"/>
    </row>
    <row r="49" spans="1:6" x14ac:dyDescent="0.3">
      <c r="A49" s="9">
        <v>45870</v>
      </c>
      <c r="B49" s="16" t="s">
        <v>60</v>
      </c>
      <c r="C49" t="s">
        <v>40</v>
      </c>
      <c r="D49" s="16"/>
      <c r="E49" s="10">
        <v>2000</v>
      </c>
      <c r="F49" s="19"/>
    </row>
    <row r="50" spans="1:6" x14ac:dyDescent="0.3">
      <c r="A50" s="11"/>
      <c r="B50" s="16" t="s">
        <v>74</v>
      </c>
      <c r="D50" s="16"/>
      <c r="E50" s="10"/>
      <c r="F50" s="19">
        <v>2000</v>
      </c>
    </row>
    <row r="51" spans="1:6" x14ac:dyDescent="0.3">
      <c r="A51" s="11"/>
      <c r="B51" s="16" t="s">
        <v>75</v>
      </c>
      <c r="D51" s="16"/>
      <c r="E51" s="10"/>
      <c r="F51" s="19"/>
    </row>
    <row r="52" spans="1:6" x14ac:dyDescent="0.3">
      <c r="A52" s="21">
        <v>45905</v>
      </c>
      <c r="B52" s="22" t="s">
        <v>76</v>
      </c>
      <c r="C52" s="23" t="s">
        <v>40</v>
      </c>
      <c r="D52" s="22"/>
      <c r="E52" s="24">
        <v>50000</v>
      </c>
      <c r="F52" s="25"/>
    </row>
    <row r="53" spans="1:6" x14ac:dyDescent="0.3">
      <c r="A53" s="11"/>
      <c r="B53" s="16" t="s">
        <v>44</v>
      </c>
      <c r="D53" s="16"/>
      <c r="E53" s="10"/>
      <c r="F53" s="19">
        <v>50000</v>
      </c>
    </row>
    <row r="54" spans="1:6" x14ac:dyDescent="0.3">
      <c r="A54" s="12"/>
      <c r="B54" s="17" t="s">
        <v>77</v>
      </c>
      <c r="C54" s="13"/>
      <c r="D54" s="17"/>
      <c r="E54" s="14"/>
      <c r="F54" s="20"/>
    </row>
    <row r="55" spans="1:6" x14ac:dyDescent="0.3">
      <c r="A55" s="9">
        <v>45931</v>
      </c>
      <c r="B55" s="16" t="s">
        <v>78</v>
      </c>
      <c r="C55" t="s">
        <v>40</v>
      </c>
      <c r="D55" s="16"/>
      <c r="E55" s="10">
        <v>12000</v>
      </c>
      <c r="F55" s="19"/>
    </row>
    <row r="56" spans="1:6" x14ac:dyDescent="0.3">
      <c r="A56" s="11"/>
      <c r="B56" s="16" t="s">
        <v>44</v>
      </c>
      <c r="D56" s="16"/>
      <c r="E56" s="10"/>
      <c r="F56" s="19">
        <v>12000</v>
      </c>
    </row>
    <row r="57" spans="1:6" x14ac:dyDescent="0.3">
      <c r="A57" s="11"/>
      <c r="B57" s="16" t="s">
        <v>79</v>
      </c>
      <c r="D57" s="16"/>
      <c r="E57" s="10"/>
      <c r="F57" s="19"/>
    </row>
    <row r="58" spans="1:6" x14ac:dyDescent="0.3">
      <c r="A58" s="21">
        <v>45940</v>
      </c>
      <c r="B58" s="22" t="s">
        <v>55</v>
      </c>
      <c r="C58" s="23" t="s">
        <v>40</v>
      </c>
      <c r="D58" s="22"/>
      <c r="E58" s="24">
        <v>8000</v>
      </c>
      <c r="F58" s="25"/>
    </row>
    <row r="59" spans="1:6" x14ac:dyDescent="0.3">
      <c r="A59" s="11"/>
      <c r="B59" s="16" t="s">
        <v>80</v>
      </c>
      <c r="D59" s="16"/>
      <c r="E59" s="10"/>
      <c r="F59" s="19">
        <v>8000</v>
      </c>
    </row>
    <row r="60" spans="1:6" x14ac:dyDescent="0.3">
      <c r="A60" s="12"/>
      <c r="B60" s="17" t="s">
        <v>81</v>
      </c>
      <c r="C60" s="13"/>
      <c r="D60" s="17"/>
      <c r="E60" s="14"/>
      <c r="F60" s="20"/>
    </row>
    <row r="61" spans="1:6" x14ac:dyDescent="0.3">
      <c r="A61" s="9">
        <v>45966</v>
      </c>
      <c r="B61" s="16" t="s">
        <v>82</v>
      </c>
      <c r="C61" t="s">
        <v>40</v>
      </c>
      <c r="D61" s="16"/>
      <c r="E61" s="10">
        <v>9000</v>
      </c>
      <c r="F61" s="19"/>
    </row>
    <row r="62" spans="1:6" x14ac:dyDescent="0.3">
      <c r="A62" s="11"/>
      <c r="B62" s="16" t="s">
        <v>44</v>
      </c>
      <c r="D62" s="16"/>
      <c r="E62" s="10"/>
      <c r="F62" s="19">
        <v>9000</v>
      </c>
    </row>
    <row r="63" spans="1:6" x14ac:dyDescent="0.3">
      <c r="A63" s="11"/>
      <c r="B63" s="16" t="s">
        <v>83</v>
      </c>
      <c r="D63" s="16"/>
      <c r="E63" s="10"/>
      <c r="F63" s="19"/>
    </row>
    <row r="64" spans="1:6" x14ac:dyDescent="0.3">
      <c r="A64" s="21">
        <v>45992</v>
      </c>
      <c r="B64" s="22" t="s">
        <v>49</v>
      </c>
      <c r="C64" s="23" t="s">
        <v>40</v>
      </c>
      <c r="D64" s="22"/>
      <c r="E64" s="24">
        <v>80000</v>
      </c>
      <c r="F64" s="25"/>
    </row>
    <row r="65" spans="1:6" x14ac:dyDescent="0.3">
      <c r="A65" s="11"/>
      <c r="B65" s="16" t="s">
        <v>84</v>
      </c>
      <c r="D65" s="16"/>
      <c r="E65" s="10"/>
      <c r="F65" s="19">
        <v>80000</v>
      </c>
    </row>
    <row r="66" spans="1:6" x14ac:dyDescent="0.3">
      <c r="A66" s="12"/>
      <c r="B66" s="17" t="s">
        <v>85</v>
      </c>
      <c r="C66" s="13"/>
      <c r="D66" s="17"/>
      <c r="E66" s="14"/>
      <c r="F66" s="20"/>
    </row>
    <row r="67" spans="1:6" x14ac:dyDescent="0.3">
      <c r="A67" s="9">
        <v>46006</v>
      </c>
      <c r="B67" s="16" t="s">
        <v>86</v>
      </c>
      <c r="C67" t="s">
        <v>40</v>
      </c>
      <c r="D67" s="16"/>
      <c r="E67" s="10">
        <v>110000</v>
      </c>
      <c r="F67" s="19"/>
    </row>
    <row r="68" spans="1:6" x14ac:dyDescent="0.3">
      <c r="A68" s="11"/>
      <c r="B68" s="16" t="s">
        <v>56</v>
      </c>
      <c r="D68" s="16"/>
      <c r="E68" s="10"/>
      <c r="F68" s="19">
        <v>110000</v>
      </c>
    </row>
    <row r="69" spans="1:6" x14ac:dyDescent="0.3">
      <c r="A69" s="11"/>
      <c r="B69" s="16" t="s">
        <v>87</v>
      </c>
      <c r="D69" s="16"/>
      <c r="E69" s="10"/>
      <c r="F69" s="19"/>
    </row>
    <row r="70" spans="1:6" x14ac:dyDescent="0.3">
      <c r="A70" s="21">
        <v>46027</v>
      </c>
      <c r="B70" s="22" t="s">
        <v>55</v>
      </c>
      <c r="C70" s="23" t="s">
        <v>40</v>
      </c>
      <c r="D70" s="22"/>
      <c r="E70" s="24">
        <v>105000</v>
      </c>
      <c r="F70" s="25"/>
    </row>
    <row r="71" spans="1:6" x14ac:dyDescent="0.3">
      <c r="A71" s="11"/>
      <c r="B71" s="16" t="s">
        <v>88</v>
      </c>
      <c r="D71" s="16"/>
      <c r="E71" s="10"/>
      <c r="F71" s="19">
        <v>105000</v>
      </c>
    </row>
    <row r="72" spans="1:6" x14ac:dyDescent="0.3">
      <c r="A72" s="12"/>
      <c r="B72" s="17" t="s">
        <v>89</v>
      </c>
      <c r="C72" s="13"/>
      <c r="D72" s="17"/>
      <c r="E72" s="14"/>
      <c r="F72" s="20"/>
    </row>
    <row r="73" spans="1:6" x14ac:dyDescent="0.3">
      <c r="A73" s="9">
        <v>46027</v>
      </c>
      <c r="B73" s="16" t="s">
        <v>71</v>
      </c>
      <c r="C73" t="s">
        <v>40</v>
      </c>
      <c r="D73" s="16"/>
      <c r="E73" s="10">
        <v>5000</v>
      </c>
      <c r="F73" s="19"/>
    </row>
    <row r="74" spans="1:6" x14ac:dyDescent="0.3">
      <c r="A74" s="11"/>
      <c r="B74" s="16" t="s">
        <v>88</v>
      </c>
      <c r="D74" s="16"/>
      <c r="E74" s="10"/>
      <c r="F74" s="19">
        <v>5000</v>
      </c>
    </row>
    <row r="75" spans="1:6" x14ac:dyDescent="0.3">
      <c r="A75" s="11"/>
      <c r="B75" s="16" t="s">
        <v>90</v>
      </c>
      <c r="D75" s="16"/>
      <c r="E75" s="10"/>
      <c r="F75" s="19"/>
    </row>
    <row r="76" spans="1:6" x14ac:dyDescent="0.3">
      <c r="A76" s="21">
        <v>46054</v>
      </c>
      <c r="B76" s="22" t="s">
        <v>91</v>
      </c>
      <c r="C76" s="23" t="s">
        <v>40</v>
      </c>
      <c r="D76" s="22"/>
      <c r="E76" s="24">
        <v>20000</v>
      </c>
      <c r="F76" s="25"/>
    </row>
    <row r="77" spans="1:6" x14ac:dyDescent="0.3">
      <c r="A77" s="11"/>
      <c r="B77" s="16" t="s">
        <v>44</v>
      </c>
      <c r="D77" s="16"/>
      <c r="E77" s="10"/>
      <c r="F77" s="19">
        <v>20000</v>
      </c>
    </row>
    <row r="78" spans="1:6" x14ac:dyDescent="0.3">
      <c r="A78" s="12"/>
      <c r="B78" s="17" t="s">
        <v>92</v>
      </c>
      <c r="C78" s="13"/>
      <c r="D78" s="17"/>
      <c r="E78" s="14"/>
      <c r="F78" s="20"/>
    </row>
    <row r="79" spans="1:6" x14ac:dyDescent="0.3">
      <c r="A79" s="9">
        <v>46063</v>
      </c>
      <c r="B79" s="16" t="s">
        <v>93</v>
      </c>
      <c r="C79" t="s">
        <v>40</v>
      </c>
      <c r="D79" s="16"/>
      <c r="E79" s="10">
        <v>15000</v>
      </c>
      <c r="F79" s="19"/>
    </row>
    <row r="80" spans="1:6" x14ac:dyDescent="0.3">
      <c r="A80" s="11"/>
      <c r="B80" s="16" t="s">
        <v>44</v>
      </c>
      <c r="D80" s="16"/>
      <c r="E80" s="10"/>
      <c r="F80" s="19">
        <v>15000</v>
      </c>
    </row>
    <row r="81" spans="1:6" x14ac:dyDescent="0.3">
      <c r="A81" s="11"/>
      <c r="B81" s="16" t="s">
        <v>94</v>
      </c>
      <c r="D81" s="16"/>
      <c r="E81" s="10"/>
      <c r="F81" s="19"/>
    </row>
    <row r="82" spans="1:6" x14ac:dyDescent="0.3">
      <c r="A82" s="21">
        <v>46096</v>
      </c>
      <c r="B82" s="22" t="s">
        <v>39</v>
      </c>
      <c r="C82" s="23" t="s">
        <v>40</v>
      </c>
      <c r="D82" s="22"/>
      <c r="E82" s="24">
        <v>6000</v>
      </c>
      <c r="F82" s="25"/>
    </row>
    <row r="83" spans="1:6" x14ac:dyDescent="0.3">
      <c r="A83" s="11"/>
      <c r="B83" s="16" t="s">
        <v>95</v>
      </c>
      <c r="D83" s="16"/>
      <c r="E83" s="10"/>
      <c r="F83" s="19">
        <v>6000</v>
      </c>
    </row>
    <row r="84" spans="1:6" x14ac:dyDescent="0.3">
      <c r="A84" s="12"/>
      <c r="B84" s="17" t="s">
        <v>96</v>
      </c>
      <c r="C84" s="13"/>
      <c r="D84" s="17"/>
      <c r="E84" s="14"/>
      <c r="F84" s="20"/>
    </row>
    <row r="85" spans="1:6" x14ac:dyDescent="0.3">
      <c r="A85" s="9">
        <v>46101</v>
      </c>
      <c r="B85" s="16" t="s">
        <v>97</v>
      </c>
      <c r="C85" t="s">
        <v>40</v>
      </c>
      <c r="D85" s="16"/>
      <c r="E85" s="10">
        <v>10000</v>
      </c>
      <c r="F85" s="19"/>
    </row>
    <row r="86" spans="1:6" x14ac:dyDescent="0.3">
      <c r="A86" s="11"/>
      <c r="B86" s="16" t="s">
        <v>44</v>
      </c>
      <c r="D86" s="16"/>
      <c r="E86" s="10"/>
      <c r="F86" s="19">
        <v>10000</v>
      </c>
    </row>
    <row r="87" spans="1:6" x14ac:dyDescent="0.3">
      <c r="A87" s="11"/>
      <c r="B87" s="16" t="s">
        <v>98</v>
      </c>
      <c r="D87" s="16"/>
      <c r="E87" s="10"/>
      <c r="F87" s="19"/>
    </row>
    <row r="88" spans="1:6" x14ac:dyDescent="0.3">
      <c r="A88" s="21">
        <v>46106</v>
      </c>
      <c r="B88" s="22" t="s">
        <v>99</v>
      </c>
      <c r="C88" s="23" t="s">
        <v>40</v>
      </c>
      <c r="D88" s="22"/>
      <c r="E88" s="24">
        <v>4000</v>
      </c>
      <c r="F88" s="25"/>
    </row>
    <row r="89" spans="1:6" x14ac:dyDescent="0.3">
      <c r="A89" s="11"/>
      <c r="B89" s="16" t="s">
        <v>44</v>
      </c>
      <c r="D89" s="16"/>
      <c r="E89" s="10"/>
      <c r="F89" s="19">
        <v>4000</v>
      </c>
    </row>
    <row r="90" spans="1:6" x14ac:dyDescent="0.3">
      <c r="A90" s="12"/>
      <c r="B90" s="17" t="s">
        <v>100</v>
      </c>
      <c r="C90" s="13"/>
      <c r="D90" s="17"/>
      <c r="E90" s="14"/>
      <c r="F90" s="20"/>
    </row>
    <row r="91" spans="1:6" x14ac:dyDescent="0.3">
      <c r="A91" s="9">
        <v>46112</v>
      </c>
      <c r="B91" s="16" t="s">
        <v>101</v>
      </c>
      <c r="C91" t="s">
        <v>40</v>
      </c>
      <c r="D91" s="16"/>
      <c r="E91" s="10">
        <v>8000</v>
      </c>
      <c r="F91" s="19"/>
    </row>
    <row r="92" spans="1:6" x14ac:dyDescent="0.3">
      <c r="A92" s="11"/>
      <c r="B92" s="16" t="s">
        <v>47</v>
      </c>
      <c r="D92" s="16"/>
      <c r="E92" s="10"/>
      <c r="F92" s="19">
        <v>8000</v>
      </c>
    </row>
    <row r="93" spans="1:6" x14ac:dyDescent="0.3">
      <c r="A93" s="12"/>
      <c r="B93" s="17" t="s">
        <v>102</v>
      </c>
      <c r="C93" s="13"/>
      <c r="D93" s="17"/>
      <c r="E93" s="14"/>
      <c r="F93" s="2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088D-7A04-45B8-849A-7A2206263B22}">
  <dimension ref="A1:K246"/>
  <sheetViews>
    <sheetView topLeftCell="A122" workbookViewId="0">
      <selection activeCell="B136" sqref="B136:G136"/>
    </sheetView>
  </sheetViews>
  <sheetFormatPr defaultRowHeight="14.4" x14ac:dyDescent="0.3"/>
  <cols>
    <col min="1" max="1" width="19.5546875" customWidth="1"/>
    <col min="2" max="2" width="29.109375" customWidth="1"/>
    <col min="3" max="3" width="6.21875" customWidth="1"/>
    <col min="4" max="4" width="17" style="4" customWidth="1"/>
    <col min="5" max="5" width="19.5546875" customWidth="1"/>
    <col min="6" max="6" width="29.109375" customWidth="1"/>
    <col min="7" max="7" width="6.21875" customWidth="1"/>
    <col min="8" max="8" width="17" style="4" customWidth="1"/>
  </cols>
  <sheetData>
    <row r="1" spans="1:8" ht="17.399999999999999" customHeight="1" x14ac:dyDescent="0.3">
      <c r="A1" s="87" t="s">
        <v>108</v>
      </c>
      <c r="B1" s="87"/>
      <c r="C1" s="87"/>
      <c r="D1" s="87"/>
      <c r="E1" s="87"/>
      <c r="F1" s="87"/>
      <c r="G1" s="87"/>
      <c r="H1" s="87"/>
    </row>
    <row r="2" spans="1:8" ht="18" x14ac:dyDescent="0.35">
      <c r="A2" s="27"/>
      <c r="B2" s="27"/>
      <c r="C2" s="27"/>
      <c r="D2" s="29"/>
      <c r="E2" s="27"/>
      <c r="F2" s="27"/>
      <c r="G2" s="27"/>
      <c r="H2" s="29"/>
    </row>
    <row r="3" spans="1:8" ht="17.399999999999999" x14ac:dyDescent="0.3">
      <c r="A3" s="28" t="s">
        <v>103</v>
      </c>
      <c r="B3" s="88" t="s">
        <v>156</v>
      </c>
      <c r="C3" s="88"/>
      <c r="D3" s="88"/>
      <c r="E3" s="88"/>
      <c r="F3" s="88"/>
      <c r="G3" s="88"/>
      <c r="H3" s="30" t="s">
        <v>106</v>
      </c>
    </row>
    <row r="4" spans="1:8" ht="15.6" x14ac:dyDescent="0.3">
      <c r="A4" s="31" t="s">
        <v>34</v>
      </c>
      <c r="B4" s="31" t="s">
        <v>35</v>
      </c>
      <c r="C4" s="31" t="s">
        <v>104</v>
      </c>
      <c r="D4" s="32" t="s">
        <v>105</v>
      </c>
      <c r="E4" s="31" t="s">
        <v>34</v>
      </c>
      <c r="F4" s="31" t="s">
        <v>35</v>
      </c>
      <c r="G4" s="31" t="s">
        <v>104</v>
      </c>
      <c r="H4" s="32" t="s">
        <v>105</v>
      </c>
    </row>
    <row r="5" spans="1:8" x14ac:dyDescent="0.3">
      <c r="A5" s="33">
        <v>46112</v>
      </c>
      <c r="B5" s="34" t="s">
        <v>112</v>
      </c>
      <c r="C5" s="34"/>
      <c r="D5" s="35">
        <v>1000000</v>
      </c>
      <c r="E5" s="33">
        <v>45748</v>
      </c>
      <c r="F5" s="34" t="s">
        <v>109</v>
      </c>
      <c r="G5" s="34"/>
      <c r="H5" s="35">
        <v>1000000</v>
      </c>
    </row>
    <row r="6" spans="1:8" x14ac:dyDescent="0.3">
      <c r="A6" s="34"/>
      <c r="B6" s="34"/>
      <c r="C6" s="34"/>
      <c r="D6" s="35"/>
      <c r="E6" s="34"/>
      <c r="F6" s="34"/>
      <c r="G6" s="34"/>
      <c r="H6" s="35"/>
    </row>
    <row r="7" spans="1:8" x14ac:dyDescent="0.3">
      <c r="A7" s="34"/>
      <c r="B7" s="34"/>
      <c r="C7" s="34"/>
      <c r="D7" s="36">
        <f>D5</f>
        <v>1000000</v>
      </c>
      <c r="E7" s="34"/>
      <c r="F7" s="34"/>
      <c r="G7" s="34"/>
      <c r="H7" s="36">
        <f>H5</f>
        <v>1000000</v>
      </c>
    </row>
    <row r="8" spans="1:8" x14ac:dyDescent="0.3">
      <c r="A8" s="34"/>
      <c r="B8" s="34"/>
      <c r="C8" s="34"/>
      <c r="D8" s="35"/>
      <c r="E8" s="33">
        <v>46113</v>
      </c>
      <c r="F8" s="34" t="s">
        <v>111</v>
      </c>
      <c r="G8" s="34"/>
      <c r="H8" s="36">
        <f>H7</f>
        <v>1000000</v>
      </c>
    </row>
    <row r="11" spans="1:8" ht="17.399999999999999" x14ac:dyDescent="0.3">
      <c r="A11" s="28" t="s">
        <v>103</v>
      </c>
      <c r="B11" s="88" t="s">
        <v>157</v>
      </c>
      <c r="C11" s="88"/>
      <c r="D11" s="88"/>
      <c r="E11" s="88"/>
      <c r="F11" s="88"/>
      <c r="G11" s="88"/>
      <c r="H11" s="30" t="s">
        <v>106</v>
      </c>
    </row>
    <row r="12" spans="1:8" ht="15.6" x14ac:dyDescent="0.3">
      <c r="A12" s="31" t="s">
        <v>34</v>
      </c>
      <c r="B12" s="31" t="s">
        <v>35</v>
      </c>
      <c r="C12" s="31" t="s">
        <v>104</v>
      </c>
      <c r="D12" s="32" t="s">
        <v>105</v>
      </c>
      <c r="E12" s="31" t="s">
        <v>34</v>
      </c>
      <c r="F12" s="31" t="s">
        <v>35</v>
      </c>
      <c r="G12" s="31" t="s">
        <v>104</v>
      </c>
      <c r="H12" s="32" t="s">
        <v>105</v>
      </c>
    </row>
    <row r="13" spans="1:8" x14ac:dyDescent="0.3">
      <c r="A13" s="33">
        <v>45772</v>
      </c>
      <c r="B13" s="34" t="s">
        <v>116</v>
      </c>
      <c r="C13" s="34"/>
      <c r="D13" s="39">
        <v>90000</v>
      </c>
      <c r="E13" s="33">
        <v>45750</v>
      </c>
      <c r="F13" s="34" t="s">
        <v>113</v>
      </c>
      <c r="G13" s="34"/>
      <c r="H13" s="39">
        <v>80000</v>
      </c>
    </row>
    <row r="14" spans="1:8" x14ac:dyDescent="0.3">
      <c r="A14" s="33">
        <v>45843</v>
      </c>
      <c r="B14" s="34" t="s">
        <v>118</v>
      </c>
      <c r="C14" s="34"/>
      <c r="D14" s="39">
        <v>130000</v>
      </c>
      <c r="E14" s="33">
        <v>45762</v>
      </c>
      <c r="F14" s="34" t="s">
        <v>114</v>
      </c>
      <c r="G14" s="34"/>
      <c r="H14" s="39">
        <v>60000</v>
      </c>
    </row>
    <row r="15" spans="1:8" x14ac:dyDescent="0.3">
      <c r="A15" s="33">
        <v>45940</v>
      </c>
      <c r="B15" s="34" t="s">
        <v>121</v>
      </c>
      <c r="C15" s="34"/>
      <c r="D15" s="39">
        <v>8000</v>
      </c>
      <c r="E15" s="33">
        <v>45765</v>
      </c>
      <c r="F15" s="34" t="s">
        <v>115</v>
      </c>
      <c r="G15" s="34"/>
      <c r="H15" s="39">
        <v>5000</v>
      </c>
    </row>
    <row r="16" spans="1:8" x14ac:dyDescent="0.3">
      <c r="A16" s="33">
        <v>46027</v>
      </c>
      <c r="B16" s="34" t="s">
        <v>123</v>
      </c>
      <c r="C16" s="34"/>
      <c r="D16" s="39">
        <v>105000</v>
      </c>
      <c r="E16" s="33">
        <v>45809</v>
      </c>
      <c r="F16" s="34" t="s">
        <v>117</v>
      </c>
      <c r="G16" s="34"/>
      <c r="H16" s="39">
        <v>30000</v>
      </c>
    </row>
    <row r="17" spans="1:11" x14ac:dyDescent="0.3">
      <c r="A17" s="34"/>
      <c r="B17" s="34"/>
      <c r="C17" s="34"/>
      <c r="D17" s="35"/>
      <c r="E17" s="33">
        <v>45905</v>
      </c>
      <c r="F17" s="34" t="s">
        <v>119</v>
      </c>
      <c r="G17" s="34"/>
      <c r="H17" s="35">
        <v>50000</v>
      </c>
    </row>
    <row r="18" spans="1:11" x14ac:dyDescent="0.3">
      <c r="A18" s="34"/>
      <c r="B18" s="34"/>
      <c r="C18" s="34"/>
      <c r="D18" s="35"/>
      <c r="E18" s="33">
        <v>45931</v>
      </c>
      <c r="F18" s="34" t="s">
        <v>120</v>
      </c>
      <c r="G18" s="34"/>
      <c r="H18" s="35">
        <v>12000</v>
      </c>
    </row>
    <row r="19" spans="1:11" x14ac:dyDescent="0.3">
      <c r="A19" s="34"/>
      <c r="B19" s="34"/>
      <c r="C19" s="34"/>
      <c r="D19" s="35"/>
      <c r="E19" s="33">
        <v>45966</v>
      </c>
      <c r="F19" s="34" t="s">
        <v>122</v>
      </c>
      <c r="G19" s="34"/>
      <c r="H19" s="35">
        <v>9000</v>
      </c>
    </row>
    <row r="20" spans="1:11" x14ac:dyDescent="0.3">
      <c r="A20" s="34"/>
      <c r="B20" s="34"/>
      <c r="C20" s="34"/>
      <c r="D20" s="35"/>
      <c r="E20" s="33">
        <v>46054</v>
      </c>
      <c r="F20" s="34" t="s">
        <v>124</v>
      </c>
      <c r="G20" s="34"/>
      <c r="H20" s="35">
        <v>20000</v>
      </c>
    </row>
    <row r="21" spans="1:11" x14ac:dyDescent="0.3">
      <c r="A21" s="34"/>
      <c r="B21" s="34"/>
      <c r="C21" s="34"/>
      <c r="D21" s="35"/>
      <c r="E21" s="33">
        <v>46063</v>
      </c>
      <c r="F21" s="34" t="s">
        <v>125</v>
      </c>
      <c r="G21" s="34"/>
      <c r="H21" s="35">
        <v>15000</v>
      </c>
    </row>
    <row r="22" spans="1:11" x14ac:dyDescent="0.3">
      <c r="A22" s="34"/>
      <c r="B22" s="34"/>
      <c r="C22" s="34"/>
      <c r="D22" s="35"/>
      <c r="E22" s="33">
        <v>46101</v>
      </c>
      <c r="F22" s="34" t="s">
        <v>126</v>
      </c>
      <c r="G22" s="34"/>
      <c r="H22" s="35">
        <v>10000</v>
      </c>
    </row>
    <row r="23" spans="1:11" x14ac:dyDescent="0.3">
      <c r="A23" s="34"/>
      <c r="B23" s="34"/>
      <c r="C23" s="34"/>
      <c r="D23" s="35"/>
      <c r="E23" s="33">
        <v>46106</v>
      </c>
      <c r="F23" s="34" t="s">
        <v>127</v>
      </c>
      <c r="G23" s="34"/>
      <c r="H23" s="35">
        <v>4000</v>
      </c>
      <c r="K23" s="40"/>
    </row>
    <row r="24" spans="1:11" x14ac:dyDescent="0.3">
      <c r="A24" s="34"/>
      <c r="B24" s="34"/>
      <c r="C24" s="34"/>
      <c r="D24" s="35"/>
      <c r="E24" s="33">
        <v>46112</v>
      </c>
      <c r="F24" s="34" t="s">
        <v>110</v>
      </c>
      <c r="G24" s="34"/>
      <c r="H24" s="35">
        <v>38000</v>
      </c>
    </row>
    <row r="25" spans="1:11" x14ac:dyDescent="0.3">
      <c r="A25" s="34"/>
      <c r="B25" s="34"/>
      <c r="C25" s="34"/>
      <c r="D25" s="35"/>
      <c r="E25" s="34"/>
      <c r="F25" s="34"/>
      <c r="G25" s="34"/>
      <c r="H25" s="35"/>
    </row>
    <row r="26" spans="1:11" x14ac:dyDescent="0.3">
      <c r="A26" s="34"/>
      <c r="B26" s="34"/>
      <c r="C26" s="34"/>
      <c r="D26" s="36">
        <f>SUM(D13:D25)</f>
        <v>333000</v>
      </c>
      <c r="E26" s="38"/>
      <c r="F26" s="38"/>
      <c r="G26" s="38"/>
      <c r="H26" s="36">
        <f>SUM(H13:H25)</f>
        <v>333000</v>
      </c>
    </row>
    <row r="27" spans="1:11" x14ac:dyDescent="0.3">
      <c r="A27" s="33">
        <v>46113</v>
      </c>
      <c r="B27" s="34" t="s">
        <v>128</v>
      </c>
      <c r="C27" s="34"/>
      <c r="D27" s="36">
        <f>H24</f>
        <v>38000</v>
      </c>
      <c r="E27" s="38"/>
      <c r="F27" s="38"/>
      <c r="G27" s="38"/>
      <c r="H27" s="36"/>
    </row>
    <row r="30" spans="1:11" ht="17.399999999999999" x14ac:dyDescent="0.3">
      <c r="A30" s="28" t="s">
        <v>103</v>
      </c>
      <c r="B30" s="88" t="s">
        <v>158</v>
      </c>
      <c r="C30" s="88"/>
      <c r="D30" s="88"/>
      <c r="E30" s="88"/>
      <c r="F30" s="88"/>
      <c r="G30" s="88"/>
      <c r="H30" s="30" t="s">
        <v>106</v>
      </c>
    </row>
    <row r="31" spans="1:11" ht="15.6" x14ac:dyDescent="0.3">
      <c r="A31" s="31" t="s">
        <v>34</v>
      </c>
      <c r="B31" s="31" t="s">
        <v>35</v>
      </c>
      <c r="C31" s="31" t="s">
        <v>104</v>
      </c>
      <c r="D31" s="32" t="s">
        <v>105</v>
      </c>
      <c r="E31" s="31" t="s">
        <v>34</v>
      </c>
      <c r="F31" s="31" t="s">
        <v>35</v>
      </c>
      <c r="G31" s="31" t="s">
        <v>104</v>
      </c>
      <c r="H31" s="32" t="s">
        <v>105</v>
      </c>
    </row>
    <row r="32" spans="1:11" x14ac:dyDescent="0.3">
      <c r="A32" s="33">
        <v>45748</v>
      </c>
      <c r="B32" s="34" t="s">
        <v>129</v>
      </c>
      <c r="C32" s="34"/>
      <c r="D32" s="39">
        <v>1000000</v>
      </c>
      <c r="E32" s="33">
        <v>45752</v>
      </c>
      <c r="F32" s="34" t="s">
        <v>130</v>
      </c>
      <c r="G32" s="34"/>
      <c r="H32" s="39">
        <v>250000</v>
      </c>
    </row>
    <row r="33" spans="1:10" x14ac:dyDescent="0.3">
      <c r="A33" s="33">
        <v>46096</v>
      </c>
      <c r="B33" s="34" t="s">
        <v>133</v>
      </c>
      <c r="C33" s="34"/>
      <c r="D33" s="39">
        <v>6000</v>
      </c>
      <c r="E33" s="33">
        <v>45818</v>
      </c>
      <c r="F33" s="34" t="s">
        <v>131</v>
      </c>
      <c r="G33" s="34"/>
      <c r="H33" s="39">
        <v>24000</v>
      </c>
    </row>
    <row r="34" spans="1:10" x14ac:dyDescent="0.3">
      <c r="A34" s="33"/>
      <c r="B34" s="34"/>
      <c r="C34" s="34"/>
      <c r="D34" s="39"/>
      <c r="E34" s="33">
        <v>45870</v>
      </c>
      <c r="F34" s="34" t="s">
        <v>132</v>
      </c>
      <c r="G34" s="34"/>
      <c r="H34" s="39">
        <v>108000</v>
      </c>
    </row>
    <row r="35" spans="1:10" x14ac:dyDescent="0.3">
      <c r="A35" s="33"/>
      <c r="B35" s="34"/>
      <c r="C35" s="34"/>
      <c r="D35" s="39"/>
      <c r="E35" s="33">
        <v>46112</v>
      </c>
      <c r="F35" s="34" t="s">
        <v>134</v>
      </c>
      <c r="G35" s="34"/>
      <c r="H35" s="39">
        <v>8000</v>
      </c>
      <c r="J35" s="40">
        <f>D38-H38</f>
        <v>0</v>
      </c>
    </row>
    <row r="36" spans="1:10" x14ac:dyDescent="0.3">
      <c r="A36" s="34"/>
      <c r="B36" s="34"/>
      <c r="C36" s="34"/>
      <c r="D36" s="39"/>
      <c r="E36" s="33">
        <v>46112</v>
      </c>
      <c r="F36" s="34" t="s">
        <v>110</v>
      </c>
      <c r="G36" s="34"/>
      <c r="H36" s="39">
        <v>616000</v>
      </c>
    </row>
    <row r="37" spans="1:10" x14ac:dyDescent="0.3">
      <c r="A37" s="34"/>
      <c r="B37" s="34"/>
      <c r="C37" s="34"/>
      <c r="D37" s="39"/>
      <c r="E37" s="33"/>
      <c r="F37" s="34"/>
      <c r="G37" s="34"/>
      <c r="H37" s="39"/>
    </row>
    <row r="38" spans="1:10" x14ac:dyDescent="0.3">
      <c r="A38" s="34"/>
      <c r="B38" s="34"/>
      <c r="C38" s="34"/>
      <c r="D38" s="36">
        <f>SUM(D32:D37)</f>
        <v>1006000</v>
      </c>
      <c r="E38" s="37"/>
      <c r="F38" s="38"/>
      <c r="G38" s="38"/>
      <c r="H38" s="36">
        <f>SUM(H32:H37)</f>
        <v>1006000</v>
      </c>
    </row>
    <row r="39" spans="1:10" x14ac:dyDescent="0.3">
      <c r="A39" s="33">
        <v>46113</v>
      </c>
      <c r="B39" s="34" t="s">
        <v>128</v>
      </c>
      <c r="C39" s="34"/>
      <c r="D39" s="36">
        <f>H36</f>
        <v>616000</v>
      </c>
      <c r="E39" s="37"/>
      <c r="F39" s="38"/>
      <c r="G39" s="38"/>
      <c r="H39" s="36"/>
    </row>
    <row r="42" spans="1:10" ht="17.399999999999999" x14ac:dyDescent="0.3">
      <c r="A42" s="28" t="s">
        <v>103</v>
      </c>
      <c r="B42" s="88" t="s">
        <v>159</v>
      </c>
      <c r="C42" s="88"/>
      <c r="D42" s="88"/>
      <c r="E42" s="88"/>
      <c r="F42" s="88"/>
      <c r="G42" s="88"/>
      <c r="H42" s="30" t="s">
        <v>106</v>
      </c>
    </row>
    <row r="43" spans="1:10" ht="15.6" x14ac:dyDescent="0.3">
      <c r="A43" s="31" t="s">
        <v>34</v>
      </c>
      <c r="B43" s="31" t="s">
        <v>35</v>
      </c>
      <c r="C43" s="31" t="s">
        <v>104</v>
      </c>
      <c r="D43" s="32" t="s">
        <v>105</v>
      </c>
      <c r="E43" s="31" t="s">
        <v>34</v>
      </c>
      <c r="F43" s="31" t="s">
        <v>35</v>
      </c>
      <c r="G43" s="31" t="s">
        <v>104</v>
      </c>
      <c r="H43" s="32" t="s">
        <v>105</v>
      </c>
    </row>
    <row r="44" spans="1:10" x14ac:dyDescent="0.3">
      <c r="A44" s="33">
        <v>45750</v>
      </c>
      <c r="B44" s="34" t="s">
        <v>135</v>
      </c>
      <c r="C44" s="34"/>
      <c r="D44" s="39">
        <v>80000</v>
      </c>
      <c r="E44" s="33">
        <v>46112</v>
      </c>
      <c r="F44" s="34" t="s">
        <v>110</v>
      </c>
      <c r="G44" s="34"/>
      <c r="H44" s="39">
        <f>D44</f>
        <v>80000</v>
      </c>
    </row>
    <row r="45" spans="1:10" x14ac:dyDescent="0.3">
      <c r="A45" s="33"/>
      <c r="B45" s="34"/>
      <c r="C45" s="34"/>
      <c r="D45" s="39"/>
      <c r="E45" s="33"/>
      <c r="F45" s="34"/>
      <c r="G45" s="34"/>
      <c r="H45" s="39"/>
    </row>
    <row r="46" spans="1:10" x14ac:dyDescent="0.3">
      <c r="A46" s="33"/>
      <c r="B46" s="34"/>
      <c r="C46" s="34"/>
      <c r="D46" s="36">
        <f>D44</f>
        <v>80000</v>
      </c>
      <c r="E46" s="37"/>
      <c r="F46" s="38"/>
      <c r="G46" s="38"/>
      <c r="H46" s="36">
        <f>H44</f>
        <v>80000</v>
      </c>
    </row>
    <row r="47" spans="1:10" x14ac:dyDescent="0.3">
      <c r="A47" s="33">
        <v>46113</v>
      </c>
      <c r="B47" s="34" t="s">
        <v>128</v>
      </c>
      <c r="C47" s="34"/>
      <c r="D47" s="36">
        <f>D46</f>
        <v>80000</v>
      </c>
      <c r="E47" s="37"/>
      <c r="F47" s="38"/>
      <c r="G47" s="38"/>
      <c r="H47" s="36"/>
    </row>
    <row r="50" spans="1:8" ht="17.399999999999999" x14ac:dyDescent="0.3">
      <c r="A50" s="28" t="s">
        <v>103</v>
      </c>
      <c r="B50" s="88" t="s">
        <v>160</v>
      </c>
      <c r="C50" s="88"/>
      <c r="D50" s="88"/>
      <c r="E50" s="88"/>
      <c r="F50" s="88"/>
      <c r="G50" s="88"/>
      <c r="H50" s="30" t="s">
        <v>106</v>
      </c>
    </row>
    <row r="51" spans="1:8" ht="15.6" x14ac:dyDescent="0.3">
      <c r="A51" s="31" t="s">
        <v>34</v>
      </c>
      <c r="B51" s="31" t="s">
        <v>35</v>
      </c>
      <c r="C51" s="31" t="s">
        <v>104</v>
      </c>
      <c r="D51" s="32" t="s">
        <v>105</v>
      </c>
      <c r="E51" s="31" t="s">
        <v>34</v>
      </c>
      <c r="F51" s="31" t="s">
        <v>35</v>
      </c>
      <c r="G51" s="31" t="s">
        <v>104</v>
      </c>
      <c r="H51" s="32" t="s">
        <v>105</v>
      </c>
    </row>
    <row r="52" spans="1:8" x14ac:dyDescent="0.3">
      <c r="A52" s="33">
        <v>45752</v>
      </c>
      <c r="B52" s="34" t="s">
        <v>136</v>
      </c>
      <c r="C52" s="34"/>
      <c r="D52" s="39">
        <v>250000</v>
      </c>
      <c r="E52" s="33">
        <v>46112</v>
      </c>
      <c r="F52" s="34" t="s">
        <v>110</v>
      </c>
      <c r="G52" s="34"/>
      <c r="H52" s="39">
        <f>D52</f>
        <v>250000</v>
      </c>
    </row>
    <row r="53" spans="1:8" x14ac:dyDescent="0.3">
      <c r="A53" s="33"/>
      <c r="B53" s="34"/>
      <c r="C53" s="34"/>
      <c r="D53" s="39"/>
      <c r="E53" s="33"/>
      <c r="F53" s="34"/>
      <c r="G53" s="34"/>
      <c r="H53" s="39"/>
    </row>
    <row r="54" spans="1:8" x14ac:dyDescent="0.3">
      <c r="A54" s="33"/>
      <c r="B54" s="34"/>
      <c r="C54" s="34"/>
      <c r="D54" s="36">
        <f>D52</f>
        <v>250000</v>
      </c>
      <c r="E54" s="37"/>
      <c r="F54" s="38"/>
      <c r="G54" s="38"/>
      <c r="H54" s="36">
        <f>H52</f>
        <v>250000</v>
      </c>
    </row>
    <row r="55" spans="1:8" x14ac:dyDescent="0.3">
      <c r="A55" s="33">
        <v>46113</v>
      </c>
      <c r="B55" s="34" t="s">
        <v>128</v>
      </c>
      <c r="C55" s="34"/>
      <c r="D55" s="36">
        <f>D54</f>
        <v>250000</v>
      </c>
      <c r="E55" s="37"/>
      <c r="F55" s="38"/>
      <c r="G55" s="38"/>
      <c r="H55" s="36"/>
    </row>
    <row r="58" spans="1:8" ht="17.399999999999999" x14ac:dyDescent="0.3">
      <c r="A58" s="28" t="s">
        <v>103</v>
      </c>
      <c r="B58" s="88" t="s">
        <v>161</v>
      </c>
      <c r="C58" s="88"/>
      <c r="D58" s="88"/>
      <c r="E58" s="88"/>
      <c r="F58" s="88"/>
      <c r="G58" s="88"/>
      <c r="H58" s="30" t="s">
        <v>106</v>
      </c>
    </row>
    <row r="59" spans="1:8" ht="15.6" x14ac:dyDescent="0.3">
      <c r="A59" s="31" t="s">
        <v>34</v>
      </c>
      <c r="B59" s="31" t="s">
        <v>35</v>
      </c>
      <c r="C59" s="31" t="s">
        <v>104</v>
      </c>
      <c r="D59" s="32" t="s">
        <v>105</v>
      </c>
      <c r="E59" s="31" t="s">
        <v>34</v>
      </c>
      <c r="F59" s="31" t="s">
        <v>35</v>
      </c>
      <c r="G59" s="31" t="s">
        <v>104</v>
      </c>
      <c r="H59" s="32" t="s">
        <v>105</v>
      </c>
    </row>
    <row r="60" spans="1:8" x14ac:dyDescent="0.3">
      <c r="A60" s="33">
        <v>45757</v>
      </c>
      <c r="B60" s="34" t="s">
        <v>137</v>
      </c>
      <c r="C60" s="34"/>
      <c r="D60" s="39">
        <v>120000</v>
      </c>
      <c r="E60" s="33">
        <v>46112</v>
      </c>
      <c r="F60" s="34" t="s">
        <v>110</v>
      </c>
      <c r="G60" s="34"/>
      <c r="H60" s="39">
        <f>D64</f>
        <v>260000</v>
      </c>
    </row>
    <row r="61" spans="1:8" x14ac:dyDescent="0.3">
      <c r="A61" s="33">
        <v>45762</v>
      </c>
      <c r="B61" s="34" t="s">
        <v>135</v>
      </c>
      <c r="C61" s="34"/>
      <c r="D61" s="39">
        <v>60000</v>
      </c>
      <c r="E61" s="33"/>
      <c r="F61" s="34"/>
      <c r="G61" s="34"/>
      <c r="H61" s="39"/>
    </row>
    <row r="62" spans="1:8" x14ac:dyDescent="0.3">
      <c r="A62" s="33">
        <v>45992</v>
      </c>
      <c r="B62" s="34" t="s">
        <v>138</v>
      </c>
      <c r="C62" s="34"/>
      <c r="D62" s="39">
        <v>80000</v>
      </c>
      <c r="E62" s="33"/>
      <c r="F62" s="34"/>
      <c r="G62" s="34"/>
      <c r="H62" s="39"/>
    </row>
    <row r="63" spans="1:8" x14ac:dyDescent="0.3">
      <c r="A63" s="33"/>
      <c r="B63" s="34"/>
      <c r="C63" s="34"/>
      <c r="D63" s="39"/>
      <c r="E63" s="33"/>
      <c r="F63" s="34"/>
      <c r="G63" s="34"/>
      <c r="H63" s="39"/>
    </row>
    <row r="64" spans="1:8" x14ac:dyDescent="0.3">
      <c r="A64" s="34"/>
      <c r="B64" s="34"/>
      <c r="C64" s="34"/>
      <c r="D64" s="36">
        <f>SUM(D60:D63)</f>
        <v>260000</v>
      </c>
      <c r="E64" s="37"/>
      <c r="F64" s="38"/>
      <c r="G64" s="38"/>
      <c r="H64" s="36">
        <f>H60</f>
        <v>260000</v>
      </c>
    </row>
    <row r="65" spans="1:8" x14ac:dyDescent="0.3">
      <c r="A65" s="33">
        <v>46113</v>
      </c>
      <c r="B65" s="34" t="s">
        <v>128</v>
      </c>
      <c r="C65" s="34"/>
      <c r="D65" s="36">
        <f>D64</f>
        <v>260000</v>
      </c>
      <c r="E65" s="37"/>
      <c r="F65" s="38"/>
      <c r="G65" s="38"/>
      <c r="H65" s="36"/>
    </row>
    <row r="68" spans="1:8" ht="17.399999999999999" x14ac:dyDescent="0.3">
      <c r="A68" s="28" t="s">
        <v>103</v>
      </c>
      <c r="B68" s="88" t="s">
        <v>162</v>
      </c>
      <c r="C68" s="88"/>
      <c r="D68" s="88"/>
      <c r="E68" s="88"/>
      <c r="F68" s="88"/>
      <c r="G68" s="88"/>
      <c r="H68" s="30" t="s">
        <v>106</v>
      </c>
    </row>
    <row r="69" spans="1:8" ht="15.6" x14ac:dyDescent="0.3">
      <c r="A69" s="31" t="s">
        <v>34</v>
      </c>
      <c r="B69" s="31" t="s">
        <v>35</v>
      </c>
      <c r="C69" s="31" t="s">
        <v>104</v>
      </c>
      <c r="D69" s="32" t="s">
        <v>105</v>
      </c>
      <c r="E69" s="31" t="s">
        <v>34</v>
      </c>
      <c r="F69" s="31" t="s">
        <v>35</v>
      </c>
      <c r="G69" s="31" t="s">
        <v>104</v>
      </c>
      <c r="H69" s="32" t="s">
        <v>105</v>
      </c>
    </row>
    <row r="70" spans="1:8" x14ac:dyDescent="0.3">
      <c r="A70" s="33">
        <v>45787</v>
      </c>
      <c r="B70" s="34" t="s">
        <v>139</v>
      </c>
      <c r="C70" s="34"/>
      <c r="D70" s="39">
        <v>10000</v>
      </c>
      <c r="E70" s="33">
        <v>45757</v>
      </c>
      <c r="F70" s="34" t="s">
        <v>114</v>
      </c>
      <c r="G70" s="34"/>
      <c r="H70" s="39">
        <v>120000</v>
      </c>
    </row>
    <row r="71" spans="1:8" x14ac:dyDescent="0.3">
      <c r="A71" s="33">
        <v>45870</v>
      </c>
      <c r="B71" s="34" t="s">
        <v>136</v>
      </c>
      <c r="C71" s="34"/>
      <c r="D71" s="39">
        <v>108000</v>
      </c>
      <c r="E71" s="33"/>
      <c r="F71" s="34"/>
      <c r="G71" s="34"/>
      <c r="H71" s="39"/>
    </row>
    <row r="72" spans="1:8" x14ac:dyDescent="0.3">
      <c r="A72" s="33">
        <v>45870</v>
      </c>
      <c r="B72" s="34" t="s">
        <v>140</v>
      </c>
      <c r="C72" s="34"/>
      <c r="D72" s="39">
        <v>2000</v>
      </c>
      <c r="E72" s="33"/>
      <c r="F72" s="34"/>
      <c r="G72" s="34"/>
      <c r="H72" s="39"/>
    </row>
    <row r="73" spans="1:8" x14ac:dyDescent="0.3">
      <c r="A73" s="33"/>
      <c r="B73" s="34"/>
      <c r="C73" s="34"/>
      <c r="D73" s="39"/>
      <c r="E73" s="33"/>
      <c r="F73" s="34"/>
      <c r="G73" s="34"/>
      <c r="H73" s="39"/>
    </row>
    <row r="74" spans="1:8" x14ac:dyDescent="0.3">
      <c r="A74" s="34"/>
      <c r="B74" s="34"/>
      <c r="C74" s="34"/>
      <c r="D74" s="36">
        <f>SUM(D70:D73)</f>
        <v>120000</v>
      </c>
      <c r="E74" s="37"/>
      <c r="F74" s="38"/>
      <c r="G74" s="38"/>
      <c r="H74" s="36">
        <f>SUM(H70:H73)</f>
        <v>120000</v>
      </c>
    </row>
    <row r="77" spans="1:8" ht="17.399999999999999" x14ac:dyDescent="0.3">
      <c r="A77" s="28" t="s">
        <v>103</v>
      </c>
      <c r="B77" s="88" t="s">
        <v>163</v>
      </c>
      <c r="C77" s="88"/>
      <c r="D77" s="88"/>
      <c r="E77" s="88"/>
      <c r="F77" s="88"/>
      <c r="G77" s="88"/>
      <c r="H77" s="30" t="s">
        <v>106</v>
      </c>
    </row>
    <row r="78" spans="1:8" ht="15.6" x14ac:dyDescent="0.3">
      <c r="A78" s="31" t="s">
        <v>34</v>
      </c>
      <c r="B78" s="31" t="s">
        <v>35</v>
      </c>
      <c r="C78" s="31" t="s">
        <v>104</v>
      </c>
      <c r="D78" s="32" t="s">
        <v>105</v>
      </c>
      <c r="E78" s="31" t="s">
        <v>34</v>
      </c>
      <c r="F78" s="31" t="s">
        <v>35</v>
      </c>
      <c r="G78" s="31" t="s">
        <v>104</v>
      </c>
      <c r="H78" s="32" t="s">
        <v>105</v>
      </c>
    </row>
    <row r="79" spans="1:8" x14ac:dyDescent="0.3">
      <c r="A79" s="33">
        <v>45765</v>
      </c>
      <c r="B79" s="34" t="s">
        <v>135</v>
      </c>
      <c r="C79" s="34"/>
      <c r="D79" s="39">
        <v>5000</v>
      </c>
      <c r="E79" s="33">
        <v>46112</v>
      </c>
      <c r="F79" s="34" t="s">
        <v>110</v>
      </c>
      <c r="G79" s="34"/>
      <c r="H79" s="39">
        <f>D79</f>
        <v>5000</v>
      </c>
    </row>
    <row r="80" spans="1:8" x14ac:dyDescent="0.3">
      <c r="A80" s="33"/>
      <c r="B80" s="34"/>
      <c r="C80" s="34"/>
      <c r="D80" s="39"/>
      <c r="E80" s="33"/>
      <c r="F80" s="34"/>
      <c r="G80" s="34"/>
      <c r="H80" s="39"/>
    </row>
    <row r="81" spans="1:8" x14ac:dyDescent="0.3">
      <c r="A81" s="33"/>
      <c r="B81" s="34"/>
      <c r="C81" s="34"/>
      <c r="D81" s="36">
        <f>D79</f>
        <v>5000</v>
      </c>
      <c r="E81" s="37"/>
      <c r="F81" s="38"/>
      <c r="G81" s="38"/>
      <c r="H81" s="36">
        <f>H79</f>
        <v>5000</v>
      </c>
    </row>
    <row r="82" spans="1:8" x14ac:dyDescent="0.3">
      <c r="A82" s="33">
        <v>46113</v>
      </c>
      <c r="B82" s="34" t="s">
        <v>128</v>
      </c>
      <c r="C82" s="34"/>
      <c r="D82" s="36">
        <f>D81</f>
        <v>5000</v>
      </c>
      <c r="E82" s="37"/>
      <c r="F82" s="38"/>
      <c r="G82" s="38"/>
      <c r="H82" s="36"/>
    </row>
    <row r="85" spans="1:8" ht="17.399999999999999" x14ac:dyDescent="0.3">
      <c r="A85" s="28" t="s">
        <v>103</v>
      </c>
      <c r="B85" s="88" t="s">
        <v>164</v>
      </c>
      <c r="C85" s="88"/>
      <c r="D85" s="88"/>
      <c r="E85" s="88"/>
      <c r="F85" s="88"/>
      <c r="G85" s="88"/>
      <c r="H85" s="30" t="s">
        <v>106</v>
      </c>
    </row>
    <row r="86" spans="1:8" ht="15.6" x14ac:dyDescent="0.3">
      <c r="A86" s="31" t="s">
        <v>34</v>
      </c>
      <c r="B86" s="31" t="s">
        <v>35</v>
      </c>
      <c r="C86" s="31" t="s">
        <v>104</v>
      </c>
      <c r="D86" s="32" t="s">
        <v>105</v>
      </c>
      <c r="E86" s="31" t="s">
        <v>34</v>
      </c>
      <c r="F86" s="31" t="s">
        <v>35</v>
      </c>
      <c r="G86" s="31" t="s">
        <v>104</v>
      </c>
      <c r="H86" s="32" t="s">
        <v>105</v>
      </c>
    </row>
    <row r="87" spans="1:8" x14ac:dyDescent="0.3">
      <c r="A87" s="33">
        <v>46112</v>
      </c>
      <c r="B87" s="34" t="s">
        <v>112</v>
      </c>
      <c r="C87" s="34"/>
      <c r="D87" s="39">
        <f>H91</f>
        <v>350000</v>
      </c>
      <c r="E87" s="33">
        <v>45772</v>
      </c>
      <c r="F87" s="34" t="s">
        <v>142</v>
      </c>
      <c r="G87" s="34"/>
      <c r="H87" s="39">
        <v>90000</v>
      </c>
    </row>
    <row r="88" spans="1:8" x14ac:dyDescent="0.3">
      <c r="A88" s="33"/>
      <c r="B88" s="34"/>
      <c r="C88" s="34"/>
      <c r="D88" s="39"/>
      <c r="E88" s="33">
        <v>45779</v>
      </c>
      <c r="F88" s="34" t="s">
        <v>143</v>
      </c>
      <c r="G88" s="34"/>
      <c r="H88" s="39">
        <v>150000</v>
      </c>
    </row>
    <row r="89" spans="1:8" x14ac:dyDescent="0.3">
      <c r="A89" s="33"/>
      <c r="B89" s="34"/>
      <c r="C89" s="34"/>
      <c r="D89" s="39"/>
      <c r="E89" s="33">
        <v>46006</v>
      </c>
      <c r="F89" s="34" t="s">
        <v>144</v>
      </c>
      <c r="G89" s="34"/>
      <c r="H89" s="39">
        <v>110000</v>
      </c>
    </row>
    <row r="90" spans="1:8" x14ac:dyDescent="0.3">
      <c r="A90" s="33"/>
      <c r="B90" s="34"/>
      <c r="C90" s="34"/>
      <c r="D90" s="39"/>
      <c r="E90" s="33"/>
      <c r="F90" s="34"/>
      <c r="G90" s="34"/>
      <c r="H90" s="39"/>
    </row>
    <row r="91" spans="1:8" x14ac:dyDescent="0.3">
      <c r="A91" s="34"/>
      <c r="B91" s="34"/>
      <c r="C91" s="34"/>
      <c r="D91" s="36">
        <f>SUM(D87:D90)</f>
        <v>350000</v>
      </c>
      <c r="E91" s="33"/>
      <c r="F91" s="34"/>
      <c r="G91" s="34"/>
      <c r="H91" s="36">
        <f>SUM(H87:H90)</f>
        <v>350000</v>
      </c>
    </row>
    <row r="92" spans="1:8" x14ac:dyDescent="0.3">
      <c r="A92" s="34"/>
      <c r="B92" s="34"/>
      <c r="C92" s="34"/>
      <c r="D92" s="35"/>
      <c r="E92" s="33">
        <v>46113</v>
      </c>
      <c r="F92" s="34" t="s">
        <v>111</v>
      </c>
      <c r="G92" s="34"/>
      <c r="H92" s="36">
        <f>H91</f>
        <v>350000</v>
      </c>
    </row>
    <row r="95" spans="1:8" ht="17.399999999999999" x14ac:dyDescent="0.3">
      <c r="A95" s="28" t="s">
        <v>103</v>
      </c>
      <c r="B95" s="88" t="s">
        <v>165</v>
      </c>
      <c r="C95" s="88"/>
      <c r="D95" s="88"/>
      <c r="E95" s="88"/>
      <c r="F95" s="88"/>
      <c r="G95" s="88"/>
      <c r="H95" s="30" t="s">
        <v>106</v>
      </c>
    </row>
    <row r="96" spans="1:8" ht="15.6" x14ac:dyDescent="0.3">
      <c r="A96" s="31" t="s">
        <v>34</v>
      </c>
      <c r="B96" s="31" t="s">
        <v>35</v>
      </c>
      <c r="C96" s="31" t="s">
        <v>104</v>
      </c>
      <c r="D96" s="32" t="s">
        <v>105</v>
      </c>
      <c r="E96" s="31" t="s">
        <v>34</v>
      </c>
      <c r="F96" s="31" t="s">
        <v>35</v>
      </c>
      <c r="G96" s="31" t="s">
        <v>104</v>
      </c>
      <c r="H96" s="32" t="s">
        <v>105</v>
      </c>
    </row>
    <row r="97" spans="1:8" x14ac:dyDescent="0.3">
      <c r="A97" s="33">
        <v>45779</v>
      </c>
      <c r="B97" s="34" t="s">
        <v>116</v>
      </c>
      <c r="C97" s="34"/>
      <c r="D97" s="39">
        <v>150000</v>
      </c>
      <c r="E97" s="33">
        <v>45792</v>
      </c>
      <c r="F97" s="34" t="s">
        <v>146</v>
      </c>
      <c r="G97" s="34"/>
      <c r="H97" s="39">
        <v>15000</v>
      </c>
    </row>
    <row r="98" spans="1:8" x14ac:dyDescent="0.3">
      <c r="A98" s="33"/>
      <c r="B98" s="34"/>
      <c r="C98" s="34"/>
      <c r="D98" s="39"/>
      <c r="E98" s="33">
        <v>45843</v>
      </c>
      <c r="F98" s="34" t="s">
        <v>142</v>
      </c>
      <c r="G98" s="34"/>
      <c r="H98" s="39">
        <v>130000</v>
      </c>
    </row>
    <row r="99" spans="1:8" x14ac:dyDescent="0.3">
      <c r="A99" s="33"/>
      <c r="B99" s="34"/>
      <c r="C99" s="34"/>
      <c r="D99" s="39"/>
      <c r="E99" s="33">
        <v>45843</v>
      </c>
      <c r="F99" s="34" t="s">
        <v>147</v>
      </c>
      <c r="G99" s="34"/>
      <c r="H99" s="39">
        <v>5000</v>
      </c>
    </row>
    <row r="100" spans="1:8" x14ac:dyDescent="0.3">
      <c r="A100" s="33"/>
      <c r="B100" s="34"/>
      <c r="C100" s="34"/>
      <c r="E100" s="33"/>
      <c r="F100" s="39"/>
      <c r="G100" s="34"/>
      <c r="H100" s="39"/>
    </row>
    <row r="101" spans="1:8" x14ac:dyDescent="0.3">
      <c r="A101" s="34"/>
      <c r="B101" s="34"/>
      <c r="C101" s="34"/>
      <c r="D101" s="36">
        <f>SUM(D97:D100)</f>
        <v>150000</v>
      </c>
      <c r="E101" s="37"/>
      <c r="F101" s="38"/>
      <c r="G101" s="38"/>
      <c r="H101" s="36">
        <f>SUM(H97:H100)</f>
        <v>150000</v>
      </c>
    </row>
    <row r="104" spans="1:8" ht="17.399999999999999" x14ac:dyDescent="0.3">
      <c r="A104" s="28" t="s">
        <v>103</v>
      </c>
      <c r="B104" s="88" t="s">
        <v>166</v>
      </c>
      <c r="C104" s="88"/>
      <c r="D104" s="88"/>
      <c r="E104" s="88"/>
      <c r="F104" s="88"/>
      <c r="G104" s="88"/>
      <c r="H104" s="30" t="s">
        <v>106</v>
      </c>
    </row>
    <row r="105" spans="1:8" ht="15.6" x14ac:dyDescent="0.3">
      <c r="A105" s="31" t="s">
        <v>34</v>
      </c>
      <c r="B105" s="31" t="s">
        <v>35</v>
      </c>
      <c r="C105" s="31" t="s">
        <v>104</v>
      </c>
      <c r="D105" s="32" t="s">
        <v>105</v>
      </c>
      <c r="E105" s="31" t="s">
        <v>34</v>
      </c>
      <c r="F105" s="31" t="s">
        <v>35</v>
      </c>
      <c r="G105" s="31" t="s">
        <v>104</v>
      </c>
      <c r="H105" s="32" t="s">
        <v>105</v>
      </c>
    </row>
    <row r="106" spans="1:8" x14ac:dyDescent="0.3">
      <c r="A106" s="33">
        <v>46112</v>
      </c>
      <c r="B106" s="34" t="s">
        <v>112</v>
      </c>
      <c r="C106" s="34"/>
      <c r="D106" s="39">
        <f>H106</f>
        <v>10000</v>
      </c>
      <c r="E106" s="33">
        <v>45787</v>
      </c>
      <c r="F106" s="34" t="s">
        <v>132</v>
      </c>
      <c r="G106" s="34"/>
      <c r="H106" s="39">
        <v>10000</v>
      </c>
    </row>
    <row r="107" spans="1:8" x14ac:dyDescent="0.3">
      <c r="A107" s="33"/>
      <c r="B107" s="34"/>
      <c r="C107" s="34"/>
      <c r="D107" s="39"/>
      <c r="E107" s="33"/>
      <c r="F107" s="34"/>
      <c r="G107" s="34"/>
      <c r="H107" s="39"/>
    </row>
    <row r="108" spans="1:8" x14ac:dyDescent="0.3">
      <c r="A108" s="33"/>
      <c r="B108" s="34"/>
      <c r="C108" s="34"/>
      <c r="D108" s="36">
        <f>H108</f>
        <v>10000</v>
      </c>
      <c r="E108" s="33"/>
      <c r="F108" s="34"/>
      <c r="G108" s="34"/>
      <c r="H108" s="36">
        <f>SUM(H106:H107)</f>
        <v>10000</v>
      </c>
    </row>
    <row r="109" spans="1:8" x14ac:dyDescent="0.3">
      <c r="A109" s="33"/>
      <c r="B109" s="34"/>
      <c r="C109" s="34"/>
      <c r="D109" s="39"/>
      <c r="E109" s="33">
        <v>46113</v>
      </c>
      <c r="F109" s="34" t="s">
        <v>111</v>
      </c>
      <c r="G109" s="34"/>
      <c r="H109" s="36">
        <f>H108</f>
        <v>10000</v>
      </c>
    </row>
    <row r="112" spans="1:8" ht="17.399999999999999" x14ac:dyDescent="0.3">
      <c r="A112" s="28" t="s">
        <v>103</v>
      </c>
      <c r="B112" s="88" t="s">
        <v>167</v>
      </c>
      <c r="C112" s="88"/>
      <c r="D112" s="88"/>
      <c r="E112" s="88"/>
      <c r="F112" s="88"/>
      <c r="G112" s="88"/>
      <c r="H112" s="30" t="s">
        <v>106</v>
      </c>
    </row>
    <row r="113" spans="1:8" ht="15.6" x14ac:dyDescent="0.3">
      <c r="A113" s="31" t="s">
        <v>34</v>
      </c>
      <c r="B113" s="31" t="s">
        <v>35</v>
      </c>
      <c r="C113" s="31" t="s">
        <v>104</v>
      </c>
      <c r="D113" s="32" t="s">
        <v>105</v>
      </c>
      <c r="E113" s="31" t="s">
        <v>34</v>
      </c>
      <c r="F113" s="31" t="s">
        <v>35</v>
      </c>
      <c r="G113" s="31" t="s">
        <v>104</v>
      </c>
      <c r="H113" s="32" t="s">
        <v>105</v>
      </c>
    </row>
    <row r="114" spans="1:8" x14ac:dyDescent="0.3">
      <c r="A114" s="33">
        <v>45792</v>
      </c>
      <c r="B114" s="34" t="s">
        <v>143</v>
      </c>
      <c r="C114" s="34"/>
      <c r="D114" s="39">
        <v>15000</v>
      </c>
      <c r="E114" s="33">
        <v>46112</v>
      </c>
      <c r="F114" s="34" t="s">
        <v>110</v>
      </c>
      <c r="G114" s="34"/>
      <c r="H114" s="39">
        <f>D114</f>
        <v>15000</v>
      </c>
    </row>
    <row r="115" spans="1:8" x14ac:dyDescent="0.3">
      <c r="A115" s="33"/>
      <c r="B115" s="34"/>
      <c r="C115" s="34"/>
      <c r="D115" s="39"/>
      <c r="E115" s="33"/>
      <c r="F115" s="34"/>
      <c r="G115" s="34"/>
      <c r="H115" s="39"/>
    </row>
    <row r="116" spans="1:8" x14ac:dyDescent="0.3">
      <c r="A116" s="33"/>
      <c r="B116" s="34"/>
      <c r="C116" s="34"/>
      <c r="D116" s="36">
        <f>D114</f>
        <v>15000</v>
      </c>
      <c r="E116" s="37"/>
      <c r="F116" s="38"/>
      <c r="G116" s="38"/>
      <c r="H116" s="36">
        <f>D114</f>
        <v>15000</v>
      </c>
    </row>
    <row r="117" spans="1:8" x14ac:dyDescent="0.3">
      <c r="A117" s="33">
        <v>46113</v>
      </c>
      <c r="B117" s="34" t="s">
        <v>128</v>
      </c>
      <c r="C117" s="34"/>
      <c r="D117" s="36">
        <f>D116</f>
        <v>15000</v>
      </c>
      <c r="E117" s="37"/>
      <c r="F117" s="38"/>
      <c r="G117" s="38"/>
      <c r="H117" s="36"/>
    </row>
    <row r="120" spans="1:8" ht="17.399999999999999" x14ac:dyDescent="0.3">
      <c r="A120" s="28" t="s">
        <v>103</v>
      </c>
      <c r="B120" s="88" t="s">
        <v>168</v>
      </c>
      <c r="C120" s="88"/>
      <c r="D120" s="88"/>
      <c r="E120" s="88"/>
      <c r="F120" s="88"/>
      <c r="G120" s="88"/>
      <c r="H120" s="30" t="s">
        <v>106</v>
      </c>
    </row>
    <row r="121" spans="1:8" ht="15.6" x14ac:dyDescent="0.3">
      <c r="A121" s="31" t="s">
        <v>34</v>
      </c>
      <c r="B121" s="31" t="s">
        <v>35</v>
      </c>
      <c r="C121" s="31" t="s">
        <v>104</v>
      </c>
      <c r="D121" s="32" t="s">
        <v>105</v>
      </c>
      <c r="E121" s="31" t="s">
        <v>34</v>
      </c>
      <c r="F121" s="31" t="s">
        <v>35</v>
      </c>
      <c r="G121" s="31" t="s">
        <v>104</v>
      </c>
      <c r="H121" s="32" t="s">
        <v>105</v>
      </c>
    </row>
    <row r="122" spans="1:8" x14ac:dyDescent="0.3">
      <c r="A122" s="33">
        <v>45809</v>
      </c>
      <c r="B122" s="34" t="s">
        <v>135</v>
      </c>
      <c r="C122" s="34"/>
      <c r="D122" s="39">
        <v>30000</v>
      </c>
      <c r="E122" s="33">
        <v>46112</v>
      </c>
      <c r="F122" s="34" t="s">
        <v>110</v>
      </c>
      <c r="G122" s="34"/>
      <c r="H122" s="39">
        <f>D122</f>
        <v>30000</v>
      </c>
    </row>
    <row r="123" spans="1:8" x14ac:dyDescent="0.3">
      <c r="A123" s="33"/>
      <c r="B123" s="34"/>
      <c r="C123" s="34"/>
      <c r="D123" s="39"/>
      <c r="E123" s="33"/>
      <c r="F123" s="34"/>
      <c r="G123" s="34"/>
      <c r="H123" s="39"/>
    </row>
    <row r="124" spans="1:8" x14ac:dyDescent="0.3">
      <c r="A124" s="33"/>
      <c r="B124" s="34"/>
      <c r="C124" s="34"/>
      <c r="D124" s="36">
        <f>D122</f>
        <v>30000</v>
      </c>
      <c r="E124" s="37"/>
      <c r="F124" s="38"/>
      <c r="G124" s="38"/>
      <c r="H124" s="36">
        <f>D122</f>
        <v>30000</v>
      </c>
    </row>
    <row r="125" spans="1:8" x14ac:dyDescent="0.3">
      <c r="A125" s="33">
        <v>46113</v>
      </c>
      <c r="B125" s="34" t="s">
        <v>128</v>
      </c>
      <c r="C125" s="34"/>
      <c r="D125" s="36">
        <f>D124</f>
        <v>30000</v>
      </c>
      <c r="E125" s="37"/>
      <c r="F125" s="38"/>
      <c r="G125" s="38"/>
      <c r="H125" s="36"/>
    </row>
    <row r="128" spans="1:8" ht="17.399999999999999" x14ac:dyDescent="0.3">
      <c r="A128" s="28" t="s">
        <v>103</v>
      </c>
      <c r="B128" s="88" t="s">
        <v>169</v>
      </c>
      <c r="C128" s="88"/>
      <c r="D128" s="88"/>
      <c r="E128" s="88"/>
      <c r="F128" s="88"/>
      <c r="G128" s="88"/>
      <c r="H128" s="30" t="s">
        <v>106</v>
      </c>
    </row>
    <row r="129" spans="1:8" ht="15.6" x14ac:dyDescent="0.3">
      <c r="A129" s="31" t="s">
        <v>34</v>
      </c>
      <c r="B129" s="31" t="s">
        <v>35</v>
      </c>
      <c r="C129" s="31" t="s">
        <v>104</v>
      </c>
      <c r="D129" s="32" t="s">
        <v>105</v>
      </c>
      <c r="E129" s="31" t="s">
        <v>34</v>
      </c>
      <c r="F129" s="31" t="s">
        <v>35</v>
      </c>
      <c r="G129" s="31" t="s">
        <v>104</v>
      </c>
      <c r="H129" s="32" t="s">
        <v>105</v>
      </c>
    </row>
    <row r="130" spans="1:8" x14ac:dyDescent="0.3">
      <c r="A130" s="33">
        <v>45818</v>
      </c>
      <c r="B130" s="34" t="s">
        <v>136</v>
      </c>
      <c r="C130" s="34"/>
      <c r="D130" s="39">
        <v>24000</v>
      </c>
      <c r="E130" s="33">
        <v>46112</v>
      </c>
      <c r="F130" s="34" t="s">
        <v>110</v>
      </c>
      <c r="G130" s="34"/>
      <c r="H130" s="39">
        <f>D130</f>
        <v>24000</v>
      </c>
    </row>
    <row r="131" spans="1:8" x14ac:dyDescent="0.3">
      <c r="A131" s="33"/>
      <c r="B131" s="34"/>
      <c r="C131" s="34"/>
      <c r="D131" s="39"/>
      <c r="E131" s="33"/>
      <c r="F131" s="34"/>
      <c r="G131" s="34"/>
      <c r="H131" s="39"/>
    </row>
    <row r="132" spans="1:8" x14ac:dyDescent="0.3">
      <c r="A132" s="33"/>
      <c r="B132" s="34"/>
      <c r="C132" s="34"/>
      <c r="D132" s="36">
        <f>D130</f>
        <v>24000</v>
      </c>
      <c r="E132" s="37"/>
      <c r="F132" s="38"/>
      <c r="G132" s="38"/>
      <c r="H132" s="36">
        <f>D130</f>
        <v>24000</v>
      </c>
    </row>
    <row r="133" spans="1:8" x14ac:dyDescent="0.3">
      <c r="A133" s="33">
        <v>46113</v>
      </c>
      <c r="B133" s="34" t="s">
        <v>128</v>
      </c>
      <c r="C133" s="34"/>
      <c r="D133" s="36">
        <f>D132</f>
        <v>24000</v>
      </c>
      <c r="E133" s="37"/>
      <c r="F133" s="38"/>
      <c r="G133" s="38"/>
      <c r="H133" s="36"/>
    </row>
    <row r="136" spans="1:8" ht="17.399999999999999" x14ac:dyDescent="0.3">
      <c r="A136" s="28" t="s">
        <v>103</v>
      </c>
      <c r="B136" s="88" t="s">
        <v>213</v>
      </c>
      <c r="C136" s="88"/>
      <c r="D136" s="88"/>
      <c r="E136" s="88"/>
      <c r="F136" s="88"/>
      <c r="G136" s="88"/>
      <c r="H136" s="30" t="s">
        <v>106</v>
      </c>
    </row>
    <row r="137" spans="1:8" ht="15.6" x14ac:dyDescent="0.3">
      <c r="A137" s="31" t="s">
        <v>34</v>
      </c>
      <c r="B137" s="31" t="s">
        <v>35</v>
      </c>
      <c r="C137" s="31" t="s">
        <v>104</v>
      </c>
      <c r="D137" s="32" t="s">
        <v>105</v>
      </c>
      <c r="E137" s="31" t="s">
        <v>34</v>
      </c>
      <c r="F137" s="31" t="s">
        <v>35</v>
      </c>
      <c r="G137" s="31" t="s">
        <v>104</v>
      </c>
      <c r="H137" s="32" t="s">
        <v>105</v>
      </c>
    </row>
    <row r="138" spans="1:8" x14ac:dyDescent="0.3">
      <c r="A138" s="33">
        <v>45843</v>
      </c>
      <c r="B138" s="34" t="s">
        <v>118</v>
      </c>
      <c r="C138" s="34"/>
      <c r="D138" s="39">
        <v>5000</v>
      </c>
      <c r="E138" s="33">
        <v>46112</v>
      </c>
      <c r="F138" s="34" t="s">
        <v>110</v>
      </c>
      <c r="G138" s="34"/>
      <c r="H138" s="39">
        <f>D141</f>
        <v>10000</v>
      </c>
    </row>
    <row r="139" spans="1:8" x14ac:dyDescent="0.3">
      <c r="A139" s="33">
        <v>46027</v>
      </c>
      <c r="B139" s="34" t="s">
        <v>123</v>
      </c>
      <c r="C139" s="34"/>
      <c r="D139" s="39">
        <v>5000</v>
      </c>
      <c r="E139" s="33"/>
      <c r="F139" s="34"/>
      <c r="G139" s="34"/>
      <c r="H139" s="39"/>
    </row>
    <row r="140" spans="1:8" x14ac:dyDescent="0.3">
      <c r="A140" s="33"/>
      <c r="B140" s="34"/>
      <c r="C140" s="34"/>
      <c r="D140" s="39"/>
      <c r="E140" s="33"/>
      <c r="F140" s="34"/>
      <c r="G140" s="34"/>
      <c r="H140" s="39"/>
    </row>
    <row r="141" spans="1:8" x14ac:dyDescent="0.3">
      <c r="A141" s="33"/>
      <c r="B141" s="34"/>
      <c r="C141" s="34"/>
      <c r="D141" s="36">
        <f>SUM(D138:D140)</f>
        <v>10000</v>
      </c>
      <c r="E141" s="37"/>
      <c r="F141" s="38"/>
      <c r="G141" s="38"/>
      <c r="H141" s="36">
        <f>SUM(H138:H140)</f>
        <v>10000</v>
      </c>
    </row>
    <row r="142" spans="1:8" x14ac:dyDescent="0.3">
      <c r="A142" s="33">
        <v>46113</v>
      </c>
      <c r="B142" s="34" t="s">
        <v>128</v>
      </c>
      <c r="C142" s="34"/>
      <c r="D142" s="36">
        <f>D141</f>
        <v>10000</v>
      </c>
      <c r="E142" s="37"/>
      <c r="F142" s="38"/>
      <c r="G142" s="38"/>
      <c r="H142" s="36"/>
    </row>
    <row r="145" spans="1:8" ht="17.399999999999999" x14ac:dyDescent="0.3">
      <c r="A145" s="28" t="s">
        <v>103</v>
      </c>
      <c r="B145" s="88" t="s">
        <v>170</v>
      </c>
      <c r="C145" s="88"/>
      <c r="D145" s="88"/>
      <c r="E145" s="88"/>
      <c r="F145" s="88"/>
      <c r="G145" s="88"/>
      <c r="H145" s="30" t="s">
        <v>106</v>
      </c>
    </row>
    <row r="146" spans="1:8" ht="15.6" x14ac:dyDescent="0.3">
      <c r="A146" s="31" t="s">
        <v>34</v>
      </c>
      <c r="B146" s="31" t="s">
        <v>35</v>
      </c>
      <c r="C146" s="31" t="s">
        <v>104</v>
      </c>
      <c r="D146" s="32" t="s">
        <v>105</v>
      </c>
      <c r="E146" s="31" t="s">
        <v>34</v>
      </c>
      <c r="F146" s="31" t="s">
        <v>35</v>
      </c>
      <c r="G146" s="31" t="s">
        <v>104</v>
      </c>
      <c r="H146" s="32" t="s">
        <v>105</v>
      </c>
    </row>
    <row r="147" spans="1:8" x14ac:dyDescent="0.3">
      <c r="A147" s="33">
        <v>46112</v>
      </c>
      <c r="B147" s="34" t="s">
        <v>112</v>
      </c>
      <c r="C147" s="34"/>
      <c r="D147" s="39">
        <f>H147</f>
        <v>2000</v>
      </c>
      <c r="E147" s="33">
        <v>45870</v>
      </c>
      <c r="F147" s="34" t="s">
        <v>132</v>
      </c>
      <c r="G147" s="34"/>
      <c r="H147" s="39">
        <v>2000</v>
      </c>
    </row>
    <row r="148" spans="1:8" x14ac:dyDescent="0.3">
      <c r="A148" s="33"/>
      <c r="B148" s="34"/>
      <c r="C148" s="34"/>
      <c r="D148" s="39"/>
      <c r="E148" s="33"/>
      <c r="F148" s="34"/>
      <c r="G148" s="34"/>
      <c r="H148" s="39"/>
    </row>
    <row r="149" spans="1:8" x14ac:dyDescent="0.3">
      <c r="A149" s="33"/>
      <c r="B149" s="34"/>
      <c r="C149" s="34"/>
      <c r="D149" s="36">
        <f>SUM(D146:D148)</f>
        <v>2000</v>
      </c>
      <c r="E149" s="33"/>
      <c r="F149" s="34"/>
      <c r="G149" s="34"/>
      <c r="H149" s="36">
        <f>SUM(H147:H148)</f>
        <v>2000</v>
      </c>
    </row>
    <row r="150" spans="1:8" x14ac:dyDescent="0.3">
      <c r="A150" s="33"/>
      <c r="B150" s="34"/>
      <c r="C150" s="34"/>
      <c r="D150" s="39"/>
      <c r="E150" s="33">
        <v>46113</v>
      </c>
      <c r="F150" s="34" t="s">
        <v>111</v>
      </c>
      <c r="G150" s="34"/>
      <c r="H150" s="36">
        <f>H149</f>
        <v>2000</v>
      </c>
    </row>
    <row r="153" spans="1:8" ht="17.399999999999999" x14ac:dyDescent="0.3">
      <c r="A153" s="28" t="s">
        <v>103</v>
      </c>
      <c r="B153" s="88" t="s">
        <v>171</v>
      </c>
      <c r="C153" s="88"/>
      <c r="D153" s="88"/>
      <c r="E153" s="88"/>
      <c r="F153" s="88"/>
      <c r="G153" s="88"/>
      <c r="H153" s="30" t="s">
        <v>106</v>
      </c>
    </row>
    <row r="154" spans="1:8" ht="15.6" x14ac:dyDescent="0.3">
      <c r="A154" s="31" t="s">
        <v>34</v>
      </c>
      <c r="B154" s="31" t="s">
        <v>35</v>
      </c>
      <c r="C154" s="31" t="s">
        <v>104</v>
      </c>
      <c r="D154" s="32" t="s">
        <v>105</v>
      </c>
      <c r="E154" s="31" t="s">
        <v>34</v>
      </c>
      <c r="F154" s="31" t="s">
        <v>35</v>
      </c>
      <c r="G154" s="31" t="s">
        <v>104</v>
      </c>
      <c r="H154" s="32" t="s">
        <v>105</v>
      </c>
    </row>
    <row r="155" spans="1:8" x14ac:dyDescent="0.3">
      <c r="A155" s="33">
        <v>45905</v>
      </c>
      <c r="B155" s="34" t="s">
        <v>135</v>
      </c>
      <c r="C155" s="34"/>
      <c r="D155" s="39">
        <v>50000</v>
      </c>
      <c r="E155" s="33">
        <v>46112</v>
      </c>
      <c r="F155" s="34" t="s">
        <v>110</v>
      </c>
      <c r="G155" s="34"/>
      <c r="H155" s="39">
        <f>D155</f>
        <v>50000</v>
      </c>
    </row>
    <row r="156" spans="1:8" x14ac:dyDescent="0.3">
      <c r="A156" s="33"/>
      <c r="B156" s="34"/>
      <c r="C156" s="34"/>
      <c r="D156" s="39"/>
      <c r="E156" s="33"/>
      <c r="F156" s="34"/>
      <c r="G156" s="34"/>
      <c r="H156" s="39"/>
    </row>
    <row r="157" spans="1:8" x14ac:dyDescent="0.3">
      <c r="A157" s="33"/>
      <c r="B157" s="34"/>
      <c r="C157" s="34"/>
      <c r="D157" s="36">
        <f>D155</f>
        <v>50000</v>
      </c>
      <c r="E157" s="37"/>
      <c r="F157" s="38"/>
      <c r="G157" s="38"/>
      <c r="H157" s="36">
        <f>D155</f>
        <v>50000</v>
      </c>
    </row>
    <row r="158" spans="1:8" x14ac:dyDescent="0.3">
      <c r="A158" s="33">
        <v>46113</v>
      </c>
      <c r="B158" s="34" t="s">
        <v>128</v>
      </c>
      <c r="C158" s="34"/>
      <c r="D158" s="36">
        <f>D157</f>
        <v>50000</v>
      </c>
      <c r="E158" s="37"/>
      <c r="F158" s="38"/>
      <c r="G158" s="38"/>
      <c r="H158" s="36"/>
    </row>
    <row r="161" spans="1:8" ht="17.399999999999999" x14ac:dyDescent="0.3">
      <c r="A161" s="28" t="s">
        <v>103</v>
      </c>
      <c r="B161" s="88" t="s">
        <v>172</v>
      </c>
      <c r="C161" s="88"/>
      <c r="D161" s="88"/>
      <c r="E161" s="88"/>
      <c r="F161" s="88"/>
      <c r="G161" s="88"/>
      <c r="H161" s="30" t="s">
        <v>106</v>
      </c>
    </row>
    <row r="162" spans="1:8" ht="15.6" x14ac:dyDescent="0.3">
      <c r="A162" s="31" t="s">
        <v>34</v>
      </c>
      <c r="B162" s="31" t="s">
        <v>35</v>
      </c>
      <c r="C162" s="31" t="s">
        <v>104</v>
      </c>
      <c r="D162" s="32" t="s">
        <v>105</v>
      </c>
      <c r="E162" s="31" t="s">
        <v>34</v>
      </c>
      <c r="F162" s="31" t="s">
        <v>35</v>
      </c>
      <c r="G162" s="31" t="s">
        <v>104</v>
      </c>
      <c r="H162" s="32" t="s">
        <v>105</v>
      </c>
    </row>
    <row r="163" spans="1:8" x14ac:dyDescent="0.3">
      <c r="A163" s="33">
        <v>45931</v>
      </c>
      <c r="B163" s="34" t="s">
        <v>135</v>
      </c>
      <c r="C163" s="34"/>
      <c r="D163" s="39">
        <v>12000</v>
      </c>
      <c r="E163" s="33">
        <v>46112</v>
      </c>
      <c r="F163" s="34" t="s">
        <v>110</v>
      </c>
      <c r="G163" s="34"/>
      <c r="H163" s="39">
        <f>D163</f>
        <v>12000</v>
      </c>
    </row>
    <row r="164" spans="1:8" x14ac:dyDescent="0.3">
      <c r="A164" s="33"/>
      <c r="B164" s="34"/>
      <c r="C164" s="34"/>
      <c r="D164" s="39"/>
      <c r="E164" s="33"/>
      <c r="F164" s="34"/>
      <c r="G164" s="34"/>
      <c r="H164" s="39"/>
    </row>
    <row r="165" spans="1:8" x14ac:dyDescent="0.3">
      <c r="A165" s="33"/>
      <c r="B165" s="34"/>
      <c r="C165" s="34"/>
      <c r="D165" s="36">
        <f>D163</f>
        <v>12000</v>
      </c>
      <c r="E165" s="37"/>
      <c r="F165" s="38"/>
      <c r="G165" s="38"/>
      <c r="H165" s="36">
        <f>D163</f>
        <v>12000</v>
      </c>
    </row>
    <row r="166" spans="1:8" x14ac:dyDescent="0.3">
      <c r="A166" s="33">
        <v>46113</v>
      </c>
      <c r="B166" s="34" t="s">
        <v>128</v>
      </c>
      <c r="C166" s="34"/>
      <c r="D166" s="36">
        <f>D165</f>
        <v>12000</v>
      </c>
      <c r="E166" s="37"/>
      <c r="F166" s="38"/>
      <c r="G166" s="38"/>
      <c r="H166" s="36"/>
    </row>
    <row r="169" spans="1:8" ht="17.399999999999999" x14ac:dyDescent="0.3">
      <c r="A169" s="28" t="s">
        <v>103</v>
      </c>
      <c r="B169" s="88" t="s">
        <v>173</v>
      </c>
      <c r="C169" s="88"/>
      <c r="D169" s="88"/>
      <c r="E169" s="88"/>
      <c r="F169" s="88"/>
      <c r="G169" s="88"/>
      <c r="H169" s="30" t="s">
        <v>106</v>
      </c>
    </row>
    <row r="170" spans="1:8" ht="15.6" x14ac:dyDescent="0.3">
      <c r="A170" s="31" t="s">
        <v>34</v>
      </c>
      <c r="B170" s="31" t="s">
        <v>35</v>
      </c>
      <c r="C170" s="31" t="s">
        <v>104</v>
      </c>
      <c r="D170" s="32" t="s">
        <v>105</v>
      </c>
      <c r="E170" s="31" t="s">
        <v>34</v>
      </c>
      <c r="F170" s="31" t="s">
        <v>35</v>
      </c>
      <c r="G170" s="31" t="s">
        <v>104</v>
      </c>
      <c r="H170" s="32" t="s">
        <v>105</v>
      </c>
    </row>
    <row r="171" spans="1:8" x14ac:dyDescent="0.3">
      <c r="A171" s="33">
        <v>46112</v>
      </c>
      <c r="B171" s="34" t="s">
        <v>112</v>
      </c>
      <c r="C171" s="34"/>
      <c r="D171" s="39">
        <f>H171</f>
        <v>8000</v>
      </c>
      <c r="E171" s="33">
        <v>45940</v>
      </c>
      <c r="F171" s="34" t="s">
        <v>142</v>
      </c>
      <c r="G171" s="34"/>
      <c r="H171" s="39">
        <v>8000</v>
      </c>
    </row>
    <row r="172" spans="1:8" x14ac:dyDescent="0.3">
      <c r="A172" s="33"/>
      <c r="B172" s="34"/>
      <c r="C172" s="34"/>
      <c r="D172" s="39"/>
      <c r="E172" s="33"/>
      <c r="F172" s="34"/>
      <c r="G172" s="34"/>
      <c r="H172" s="39"/>
    </row>
    <row r="173" spans="1:8" x14ac:dyDescent="0.3">
      <c r="A173" s="33"/>
      <c r="B173" s="34"/>
      <c r="C173" s="34"/>
      <c r="D173" s="36">
        <f>SUM(D170:D172)</f>
        <v>8000</v>
      </c>
      <c r="E173" s="33"/>
      <c r="F173" s="34"/>
      <c r="G173" s="34"/>
      <c r="H173" s="36">
        <f>SUM(H171:H172)</f>
        <v>8000</v>
      </c>
    </row>
    <row r="174" spans="1:8" x14ac:dyDescent="0.3">
      <c r="A174" s="33"/>
      <c r="B174" s="34"/>
      <c r="C174" s="34"/>
      <c r="D174" s="39"/>
      <c r="E174" s="33">
        <v>46113</v>
      </c>
      <c r="F174" s="34" t="s">
        <v>111</v>
      </c>
      <c r="G174" s="34"/>
      <c r="H174" s="36">
        <f>H173</f>
        <v>8000</v>
      </c>
    </row>
    <row r="177" spans="1:8" ht="17.399999999999999" x14ac:dyDescent="0.3">
      <c r="A177" s="28" t="s">
        <v>103</v>
      </c>
      <c r="B177" s="88" t="s">
        <v>174</v>
      </c>
      <c r="C177" s="88"/>
      <c r="D177" s="88"/>
      <c r="E177" s="88"/>
      <c r="F177" s="88"/>
      <c r="G177" s="88"/>
      <c r="H177" s="30" t="s">
        <v>106</v>
      </c>
    </row>
    <row r="178" spans="1:8" ht="15.6" x14ac:dyDescent="0.3">
      <c r="A178" s="31" t="s">
        <v>34</v>
      </c>
      <c r="B178" s="31" t="s">
        <v>35</v>
      </c>
      <c r="C178" s="31" t="s">
        <v>104</v>
      </c>
      <c r="D178" s="32" t="s">
        <v>105</v>
      </c>
      <c r="E178" s="31" t="s">
        <v>34</v>
      </c>
      <c r="F178" s="31" t="s">
        <v>35</v>
      </c>
      <c r="G178" s="31" t="s">
        <v>104</v>
      </c>
      <c r="H178" s="32" t="s">
        <v>105</v>
      </c>
    </row>
    <row r="179" spans="1:8" x14ac:dyDescent="0.3">
      <c r="A179" s="33">
        <v>45966</v>
      </c>
      <c r="B179" s="34" t="s">
        <v>135</v>
      </c>
      <c r="C179" s="34"/>
      <c r="D179" s="39">
        <v>9000</v>
      </c>
      <c r="E179" s="33">
        <v>46112</v>
      </c>
      <c r="F179" s="34" t="s">
        <v>110</v>
      </c>
      <c r="G179" s="34"/>
      <c r="H179" s="39">
        <f>D179</f>
        <v>9000</v>
      </c>
    </row>
    <row r="180" spans="1:8" x14ac:dyDescent="0.3">
      <c r="A180" s="33"/>
      <c r="B180" s="34"/>
      <c r="C180" s="34"/>
      <c r="D180" s="39"/>
      <c r="E180" s="33"/>
      <c r="F180" s="34"/>
      <c r="G180" s="34"/>
      <c r="H180" s="39"/>
    </row>
    <row r="181" spans="1:8" x14ac:dyDescent="0.3">
      <c r="A181" s="33"/>
      <c r="B181" s="34"/>
      <c r="C181" s="34"/>
      <c r="D181" s="36">
        <f>D179</f>
        <v>9000</v>
      </c>
      <c r="E181" s="37"/>
      <c r="F181" s="38"/>
      <c r="G181" s="38"/>
      <c r="H181" s="36">
        <f>D179</f>
        <v>9000</v>
      </c>
    </row>
    <row r="182" spans="1:8" x14ac:dyDescent="0.3">
      <c r="A182" s="33">
        <v>46113</v>
      </c>
      <c r="B182" s="34" t="s">
        <v>128</v>
      </c>
      <c r="C182" s="34"/>
      <c r="D182" s="36">
        <f>D181</f>
        <v>9000</v>
      </c>
      <c r="E182" s="37"/>
      <c r="F182" s="38"/>
      <c r="G182" s="38"/>
      <c r="H182" s="36"/>
    </row>
    <row r="185" spans="1:8" ht="17.399999999999999" x14ac:dyDescent="0.3">
      <c r="A185" s="28" t="s">
        <v>103</v>
      </c>
      <c r="B185" s="88" t="s">
        <v>175</v>
      </c>
      <c r="C185" s="88"/>
      <c r="D185" s="88"/>
      <c r="E185" s="88"/>
      <c r="F185" s="88"/>
      <c r="G185" s="88"/>
      <c r="H185" s="30" t="s">
        <v>106</v>
      </c>
    </row>
    <row r="186" spans="1:8" ht="15.6" x14ac:dyDescent="0.3">
      <c r="A186" s="31" t="s">
        <v>34</v>
      </c>
      <c r="B186" s="31" t="s">
        <v>35</v>
      </c>
      <c r="C186" s="31" t="s">
        <v>104</v>
      </c>
      <c r="D186" s="32" t="s">
        <v>105</v>
      </c>
      <c r="E186" s="31" t="s">
        <v>34</v>
      </c>
      <c r="F186" s="31" t="s">
        <v>35</v>
      </c>
      <c r="G186" s="31" t="s">
        <v>104</v>
      </c>
      <c r="H186" s="32" t="s">
        <v>105</v>
      </c>
    </row>
    <row r="187" spans="1:8" x14ac:dyDescent="0.3">
      <c r="A187" s="33">
        <v>46112</v>
      </c>
      <c r="B187" s="34" t="s">
        <v>112</v>
      </c>
      <c r="C187" s="34"/>
      <c r="D187" s="39">
        <f>H187</f>
        <v>80000</v>
      </c>
      <c r="E187" s="33">
        <v>45992</v>
      </c>
      <c r="F187" s="34" t="s">
        <v>114</v>
      </c>
      <c r="G187" s="34"/>
      <c r="H187" s="39">
        <v>80000</v>
      </c>
    </row>
    <row r="188" spans="1:8" x14ac:dyDescent="0.3">
      <c r="A188" s="33"/>
      <c r="B188" s="34"/>
      <c r="C188" s="34"/>
      <c r="D188" s="39"/>
      <c r="E188" s="33"/>
      <c r="F188" s="34"/>
      <c r="G188" s="34"/>
      <c r="H188" s="39"/>
    </row>
    <row r="189" spans="1:8" x14ac:dyDescent="0.3">
      <c r="A189" s="33"/>
      <c r="B189" s="34"/>
      <c r="C189" s="34"/>
      <c r="D189" s="36">
        <f>SUM(D186:D188)</f>
        <v>80000</v>
      </c>
      <c r="E189" s="33"/>
      <c r="F189" s="34"/>
      <c r="G189" s="34"/>
      <c r="H189" s="36">
        <f>SUM(H187:H188)</f>
        <v>80000</v>
      </c>
    </row>
    <row r="190" spans="1:8" x14ac:dyDescent="0.3">
      <c r="A190" s="33"/>
      <c r="B190" s="34"/>
      <c r="C190" s="34"/>
      <c r="D190" s="39"/>
      <c r="E190" s="33">
        <v>46113</v>
      </c>
      <c r="F190" s="34" t="s">
        <v>111</v>
      </c>
      <c r="G190" s="34"/>
      <c r="H190" s="36">
        <f>H189</f>
        <v>80000</v>
      </c>
    </row>
    <row r="193" spans="1:8" ht="17.399999999999999" x14ac:dyDescent="0.3">
      <c r="A193" s="28" t="s">
        <v>103</v>
      </c>
      <c r="B193" s="88" t="s">
        <v>176</v>
      </c>
      <c r="C193" s="88"/>
      <c r="D193" s="88"/>
      <c r="E193" s="88"/>
      <c r="F193" s="88"/>
      <c r="G193" s="88"/>
      <c r="H193" s="30" t="s">
        <v>106</v>
      </c>
    </row>
    <row r="194" spans="1:8" ht="15.6" x14ac:dyDescent="0.3">
      <c r="A194" s="31" t="s">
        <v>34</v>
      </c>
      <c r="B194" s="31" t="s">
        <v>35</v>
      </c>
      <c r="C194" s="31" t="s">
        <v>104</v>
      </c>
      <c r="D194" s="32" t="s">
        <v>105</v>
      </c>
      <c r="E194" s="31" t="s">
        <v>34</v>
      </c>
      <c r="F194" s="31" t="s">
        <v>35</v>
      </c>
      <c r="G194" s="31" t="s">
        <v>104</v>
      </c>
      <c r="H194" s="32" t="s">
        <v>105</v>
      </c>
    </row>
    <row r="195" spans="1:8" x14ac:dyDescent="0.3">
      <c r="A195" s="33">
        <v>46006</v>
      </c>
      <c r="B195" s="34" t="s">
        <v>116</v>
      </c>
      <c r="C195" s="34"/>
      <c r="D195" s="39">
        <v>110000</v>
      </c>
      <c r="E195" s="33">
        <v>46027</v>
      </c>
      <c r="F195" s="34" t="s">
        <v>142</v>
      </c>
      <c r="G195" s="34"/>
      <c r="H195" s="39">
        <v>105000</v>
      </c>
    </row>
    <row r="196" spans="1:8" x14ac:dyDescent="0.3">
      <c r="A196" s="33"/>
      <c r="B196" s="34"/>
      <c r="C196" s="34"/>
      <c r="D196" s="39"/>
      <c r="E196" s="33">
        <v>45662</v>
      </c>
      <c r="F196" s="34" t="s">
        <v>147</v>
      </c>
      <c r="G196" s="34"/>
      <c r="H196" s="39">
        <v>5000</v>
      </c>
    </row>
    <row r="197" spans="1:8" x14ac:dyDescent="0.3">
      <c r="A197" s="33"/>
      <c r="B197" s="34"/>
      <c r="C197" s="34"/>
      <c r="D197" s="39"/>
      <c r="E197" s="33"/>
      <c r="F197" s="34"/>
      <c r="G197" s="34"/>
      <c r="H197" s="39"/>
    </row>
    <row r="198" spans="1:8" x14ac:dyDescent="0.3">
      <c r="A198" s="33"/>
      <c r="B198" s="34"/>
      <c r="C198" s="34"/>
      <c r="D198" s="36">
        <f>SUM(D195:D197)</f>
        <v>110000</v>
      </c>
      <c r="E198" s="33"/>
      <c r="F198" s="34"/>
      <c r="G198" s="34"/>
      <c r="H198" s="36">
        <f>SUM(H195:H197)</f>
        <v>110000</v>
      </c>
    </row>
    <row r="201" spans="1:8" ht="17.399999999999999" x14ac:dyDescent="0.3">
      <c r="A201" s="28" t="s">
        <v>103</v>
      </c>
      <c r="B201" s="88" t="s">
        <v>177</v>
      </c>
      <c r="C201" s="88"/>
      <c r="D201" s="88"/>
      <c r="E201" s="88"/>
      <c r="F201" s="88"/>
      <c r="G201" s="88"/>
      <c r="H201" s="30" t="s">
        <v>106</v>
      </c>
    </row>
    <row r="202" spans="1:8" ht="15.6" x14ac:dyDescent="0.3">
      <c r="A202" s="31" t="s">
        <v>34</v>
      </c>
      <c r="B202" s="31" t="s">
        <v>35</v>
      </c>
      <c r="C202" s="31" t="s">
        <v>104</v>
      </c>
      <c r="D202" s="32" t="s">
        <v>105</v>
      </c>
      <c r="E202" s="31" t="s">
        <v>34</v>
      </c>
      <c r="F202" s="31" t="s">
        <v>35</v>
      </c>
      <c r="G202" s="31" t="s">
        <v>104</v>
      </c>
      <c r="H202" s="32" t="s">
        <v>105</v>
      </c>
    </row>
    <row r="203" spans="1:8" x14ac:dyDescent="0.3">
      <c r="A203" s="33">
        <v>46054</v>
      </c>
      <c r="B203" s="34" t="s">
        <v>135</v>
      </c>
      <c r="C203" s="34"/>
      <c r="D203" s="39">
        <v>20000</v>
      </c>
      <c r="E203" s="33">
        <v>46112</v>
      </c>
      <c r="F203" s="34" t="s">
        <v>110</v>
      </c>
      <c r="G203" s="34"/>
      <c r="H203" s="39">
        <f>D203</f>
        <v>20000</v>
      </c>
    </row>
    <row r="204" spans="1:8" x14ac:dyDescent="0.3">
      <c r="A204" s="33"/>
      <c r="B204" s="34"/>
      <c r="C204" s="34"/>
      <c r="D204" s="39"/>
      <c r="E204" s="33"/>
      <c r="F204" s="34"/>
      <c r="G204" s="34"/>
      <c r="H204" s="39"/>
    </row>
    <row r="205" spans="1:8" x14ac:dyDescent="0.3">
      <c r="A205" s="33"/>
      <c r="B205" s="34"/>
      <c r="C205" s="34"/>
      <c r="D205" s="36">
        <f>D203</f>
        <v>20000</v>
      </c>
      <c r="E205" s="37"/>
      <c r="F205" s="38"/>
      <c r="G205" s="38"/>
      <c r="H205" s="36">
        <f>D203</f>
        <v>20000</v>
      </c>
    </row>
    <row r="206" spans="1:8" x14ac:dyDescent="0.3">
      <c r="A206" s="33">
        <v>46113</v>
      </c>
      <c r="B206" s="34" t="s">
        <v>128</v>
      </c>
      <c r="C206" s="34"/>
      <c r="D206" s="36">
        <f>D205</f>
        <v>20000</v>
      </c>
      <c r="E206" s="37"/>
      <c r="F206" s="38"/>
      <c r="G206" s="38"/>
      <c r="H206" s="36"/>
    </row>
    <row r="209" spans="1:8" ht="17.399999999999999" x14ac:dyDescent="0.3">
      <c r="A209" s="28" t="s">
        <v>103</v>
      </c>
      <c r="B209" s="88" t="s">
        <v>178</v>
      </c>
      <c r="C209" s="88"/>
      <c r="D209" s="88"/>
      <c r="E209" s="88"/>
      <c r="F209" s="88"/>
      <c r="G209" s="88"/>
      <c r="H209" s="30" t="s">
        <v>106</v>
      </c>
    </row>
    <row r="210" spans="1:8" ht="15.6" x14ac:dyDescent="0.3">
      <c r="A210" s="31" t="s">
        <v>34</v>
      </c>
      <c r="B210" s="31" t="s">
        <v>35</v>
      </c>
      <c r="C210" s="31" t="s">
        <v>104</v>
      </c>
      <c r="D210" s="32" t="s">
        <v>105</v>
      </c>
      <c r="E210" s="31" t="s">
        <v>34</v>
      </c>
      <c r="F210" s="31" t="s">
        <v>35</v>
      </c>
      <c r="G210" s="31" t="s">
        <v>104</v>
      </c>
      <c r="H210" s="32" t="s">
        <v>105</v>
      </c>
    </row>
    <row r="211" spans="1:8" x14ac:dyDescent="0.3">
      <c r="A211" s="33">
        <v>46063</v>
      </c>
      <c r="B211" s="34" t="s">
        <v>135</v>
      </c>
      <c r="C211" s="34"/>
      <c r="D211" s="39">
        <v>15000</v>
      </c>
      <c r="E211" s="33">
        <v>46112</v>
      </c>
      <c r="F211" s="34" t="s">
        <v>110</v>
      </c>
      <c r="G211" s="34"/>
      <c r="H211" s="39">
        <f>D211</f>
        <v>15000</v>
      </c>
    </row>
    <row r="212" spans="1:8" x14ac:dyDescent="0.3">
      <c r="A212" s="33"/>
      <c r="B212" s="34"/>
      <c r="C212" s="34"/>
      <c r="D212" s="39"/>
      <c r="E212" s="33"/>
      <c r="F212" s="34"/>
      <c r="G212" s="34"/>
      <c r="H212" s="39"/>
    </row>
    <row r="213" spans="1:8" x14ac:dyDescent="0.3">
      <c r="A213" s="33"/>
      <c r="B213" s="34"/>
      <c r="C213" s="34"/>
      <c r="D213" s="36">
        <f>D211</f>
        <v>15000</v>
      </c>
      <c r="E213" s="37"/>
      <c r="F213" s="38"/>
      <c r="G213" s="38"/>
      <c r="H213" s="36">
        <f>D211</f>
        <v>15000</v>
      </c>
    </row>
    <row r="214" spans="1:8" x14ac:dyDescent="0.3">
      <c r="A214" s="33">
        <v>46113</v>
      </c>
      <c r="B214" s="34" t="s">
        <v>128</v>
      </c>
      <c r="C214" s="34"/>
      <c r="D214" s="36">
        <f>D213</f>
        <v>15000</v>
      </c>
      <c r="E214" s="37"/>
      <c r="F214" s="38"/>
      <c r="G214" s="38"/>
      <c r="H214" s="36"/>
    </row>
    <row r="217" spans="1:8" ht="17.399999999999999" x14ac:dyDescent="0.3">
      <c r="A217" s="28" t="s">
        <v>103</v>
      </c>
      <c r="B217" s="88" t="s">
        <v>179</v>
      </c>
      <c r="C217" s="88"/>
      <c r="D217" s="88"/>
      <c r="E217" s="88"/>
      <c r="F217" s="88"/>
      <c r="G217" s="88"/>
      <c r="H217" s="30" t="s">
        <v>106</v>
      </c>
    </row>
    <row r="218" spans="1:8" ht="15.6" x14ac:dyDescent="0.3">
      <c r="A218" s="31" t="s">
        <v>34</v>
      </c>
      <c r="B218" s="31" t="s">
        <v>35</v>
      </c>
      <c r="C218" s="31" t="s">
        <v>104</v>
      </c>
      <c r="D218" s="32" t="s">
        <v>105</v>
      </c>
      <c r="E218" s="31" t="s">
        <v>34</v>
      </c>
      <c r="F218" s="31" t="s">
        <v>35</v>
      </c>
      <c r="G218" s="31" t="s">
        <v>104</v>
      </c>
      <c r="H218" s="32" t="s">
        <v>105</v>
      </c>
    </row>
    <row r="219" spans="1:8" x14ac:dyDescent="0.3">
      <c r="A219" s="33">
        <v>46112</v>
      </c>
      <c r="B219" s="34" t="s">
        <v>112</v>
      </c>
      <c r="C219" s="34"/>
      <c r="D219" s="39">
        <f>H219</f>
        <v>6000</v>
      </c>
      <c r="E219" s="33">
        <v>46096</v>
      </c>
      <c r="F219" s="34" t="s">
        <v>109</v>
      </c>
      <c r="G219" s="34"/>
      <c r="H219" s="39">
        <v>6000</v>
      </c>
    </row>
    <row r="220" spans="1:8" x14ac:dyDescent="0.3">
      <c r="A220" s="33"/>
      <c r="B220" s="34"/>
      <c r="C220" s="34"/>
      <c r="D220" s="39"/>
      <c r="E220" s="33"/>
      <c r="F220" s="34"/>
      <c r="G220" s="34"/>
      <c r="H220" s="39"/>
    </row>
    <row r="221" spans="1:8" x14ac:dyDescent="0.3">
      <c r="A221" s="33"/>
      <c r="B221" s="34"/>
      <c r="C221" s="34"/>
      <c r="D221" s="36">
        <f>SUM(D218:D220)</f>
        <v>6000</v>
      </c>
      <c r="E221" s="33"/>
      <c r="F221" s="34"/>
      <c r="G221" s="34"/>
      <c r="H221" s="36">
        <f>SUM(H219:H220)</f>
        <v>6000</v>
      </c>
    </row>
    <row r="222" spans="1:8" x14ac:dyDescent="0.3">
      <c r="A222" s="33"/>
      <c r="B222" s="34"/>
      <c r="C222" s="34"/>
      <c r="D222" s="39"/>
      <c r="E222" s="33">
        <v>46113</v>
      </c>
      <c r="F222" s="34" t="s">
        <v>111</v>
      </c>
      <c r="G222" s="34"/>
      <c r="H222" s="36">
        <f>H221</f>
        <v>6000</v>
      </c>
    </row>
    <row r="225" spans="1:8" ht="17.399999999999999" x14ac:dyDescent="0.3">
      <c r="A225" s="28" t="s">
        <v>103</v>
      </c>
      <c r="B225" s="88" t="s">
        <v>180</v>
      </c>
      <c r="C225" s="88"/>
      <c r="D225" s="88"/>
      <c r="E225" s="88"/>
      <c r="F225" s="88"/>
      <c r="G225" s="88"/>
      <c r="H225" s="30" t="s">
        <v>106</v>
      </c>
    </row>
    <row r="226" spans="1:8" ht="15.6" x14ac:dyDescent="0.3">
      <c r="A226" s="31" t="s">
        <v>34</v>
      </c>
      <c r="B226" s="31" t="s">
        <v>35</v>
      </c>
      <c r="C226" s="31" t="s">
        <v>104</v>
      </c>
      <c r="D226" s="32" t="s">
        <v>105</v>
      </c>
      <c r="E226" s="31" t="s">
        <v>34</v>
      </c>
      <c r="F226" s="31" t="s">
        <v>35</v>
      </c>
      <c r="G226" s="31" t="s">
        <v>104</v>
      </c>
      <c r="H226" s="32" t="s">
        <v>105</v>
      </c>
    </row>
    <row r="227" spans="1:8" x14ac:dyDescent="0.3">
      <c r="A227" s="33">
        <v>46101</v>
      </c>
      <c r="B227" s="34" t="s">
        <v>135</v>
      </c>
      <c r="C227" s="34"/>
      <c r="D227" s="39">
        <v>10000</v>
      </c>
      <c r="E227" s="33">
        <v>46112</v>
      </c>
      <c r="F227" s="34" t="s">
        <v>110</v>
      </c>
      <c r="G227" s="34"/>
      <c r="H227" s="39">
        <f>D227</f>
        <v>10000</v>
      </c>
    </row>
    <row r="228" spans="1:8" x14ac:dyDescent="0.3">
      <c r="A228" s="33"/>
      <c r="B228" s="34"/>
      <c r="C228" s="34"/>
      <c r="D228" s="39"/>
      <c r="E228" s="33"/>
      <c r="F228" s="34"/>
      <c r="G228" s="34"/>
      <c r="H228" s="39"/>
    </row>
    <row r="229" spans="1:8" x14ac:dyDescent="0.3">
      <c r="A229" s="33"/>
      <c r="B229" s="34"/>
      <c r="C229" s="34"/>
      <c r="D229" s="36">
        <f>D227</f>
        <v>10000</v>
      </c>
      <c r="E229" s="37"/>
      <c r="F229" s="38"/>
      <c r="G229" s="38"/>
      <c r="H229" s="36">
        <f>D227</f>
        <v>10000</v>
      </c>
    </row>
    <row r="230" spans="1:8" x14ac:dyDescent="0.3">
      <c r="A230" s="33">
        <v>46113</v>
      </c>
      <c r="B230" s="34" t="s">
        <v>128</v>
      </c>
      <c r="C230" s="34"/>
      <c r="D230" s="36">
        <f>D229</f>
        <v>10000</v>
      </c>
      <c r="E230" s="37"/>
      <c r="F230" s="38"/>
      <c r="G230" s="38"/>
      <c r="H230" s="36"/>
    </row>
    <row r="233" spans="1:8" ht="17.399999999999999" x14ac:dyDescent="0.3">
      <c r="A233" s="28" t="s">
        <v>103</v>
      </c>
      <c r="B233" s="88" t="s">
        <v>181</v>
      </c>
      <c r="C233" s="88"/>
      <c r="D233" s="88"/>
      <c r="E233" s="88"/>
      <c r="F233" s="88"/>
      <c r="G233" s="88"/>
      <c r="H233" s="30" t="s">
        <v>106</v>
      </c>
    </row>
    <row r="234" spans="1:8" ht="15.6" x14ac:dyDescent="0.3">
      <c r="A234" s="31" t="s">
        <v>34</v>
      </c>
      <c r="B234" s="31" t="s">
        <v>35</v>
      </c>
      <c r="C234" s="31" t="s">
        <v>104</v>
      </c>
      <c r="D234" s="32" t="s">
        <v>105</v>
      </c>
      <c r="E234" s="31" t="s">
        <v>34</v>
      </c>
      <c r="F234" s="31" t="s">
        <v>35</v>
      </c>
      <c r="G234" s="31" t="s">
        <v>104</v>
      </c>
      <c r="H234" s="32" t="s">
        <v>105</v>
      </c>
    </row>
    <row r="235" spans="1:8" x14ac:dyDescent="0.3">
      <c r="A235" s="33">
        <v>46106</v>
      </c>
      <c r="B235" s="34" t="s">
        <v>135</v>
      </c>
      <c r="C235" s="34"/>
      <c r="D235" s="39">
        <v>4000</v>
      </c>
      <c r="E235" s="33">
        <v>46112</v>
      </c>
      <c r="F235" s="34" t="s">
        <v>110</v>
      </c>
      <c r="G235" s="34"/>
      <c r="H235" s="39">
        <f>D235</f>
        <v>4000</v>
      </c>
    </row>
    <row r="236" spans="1:8" x14ac:dyDescent="0.3">
      <c r="A236" s="33"/>
      <c r="B236" s="34"/>
      <c r="C236" s="34"/>
      <c r="D236" s="39"/>
      <c r="E236" s="33"/>
      <c r="F236" s="34"/>
      <c r="G236" s="34"/>
      <c r="H236" s="39"/>
    </row>
    <row r="237" spans="1:8" x14ac:dyDescent="0.3">
      <c r="A237" s="33"/>
      <c r="B237" s="34"/>
      <c r="C237" s="34"/>
      <c r="D237" s="36">
        <f>D235</f>
        <v>4000</v>
      </c>
      <c r="E237" s="37"/>
      <c r="F237" s="38"/>
      <c r="G237" s="38"/>
      <c r="H237" s="36">
        <f>D235</f>
        <v>4000</v>
      </c>
    </row>
    <row r="238" spans="1:8" x14ac:dyDescent="0.3">
      <c r="A238" s="33">
        <v>46113</v>
      </c>
      <c r="B238" s="34" t="s">
        <v>128</v>
      </c>
      <c r="C238" s="34"/>
      <c r="D238" s="36">
        <f>D237</f>
        <v>4000</v>
      </c>
      <c r="E238" s="37"/>
      <c r="F238" s="38"/>
      <c r="G238" s="38"/>
      <c r="H238" s="36"/>
    </row>
    <row r="241" spans="1:8" ht="17.399999999999999" x14ac:dyDescent="0.3">
      <c r="A241" s="28" t="s">
        <v>103</v>
      </c>
      <c r="B241" s="88" t="s">
        <v>182</v>
      </c>
      <c r="C241" s="88"/>
      <c r="D241" s="88"/>
      <c r="E241" s="88"/>
      <c r="F241" s="88"/>
      <c r="G241" s="88"/>
      <c r="H241" s="30" t="s">
        <v>106</v>
      </c>
    </row>
    <row r="242" spans="1:8" ht="15.6" x14ac:dyDescent="0.3">
      <c r="A242" s="31" t="s">
        <v>34</v>
      </c>
      <c r="B242" s="31" t="s">
        <v>35</v>
      </c>
      <c r="C242" s="31" t="s">
        <v>104</v>
      </c>
      <c r="D242" s="32" t="s">
        <v>105</v>
      </c>
      <c r="E242" s="31" t="s">
        <v>34</v>
      </c>
      <c r="F242" s="31" t="s">
        <v>35</v>
      </c>
      <c r="G242" s="31" t="s">
        <v>104</v>
      </c>
      <c r="H242" s="32" t="s">
        <v>105</v>
      </c>
    </row>
    <row r="243" spans="1:8" x14ac:dyDescent="0.3">
      <c r="A243" s="33">
        <v>46112</v>
      </c>
      <c r="B243" s="34" t="s">
        <v>135</v>
      </c>
      <c r="C243" s="34"/>
      <c r="D243" s="39">
        <v>8000</v>
      </c>
      <c r="E243" s="33">
        <v>46112</v>
      </c>
      <c r="F243" s="34" t="s">
        <v>110</v>
      </c>
      <c r="G243" s="34"/>
      <c r="H243" s="39">
        <f>D243</f>
        <v>8000</v>
      </c>
    </row>
    <row r="244" spans="1:8" x14ac:dyDescent="0.3">
      <c r="A244" s="33"/>
      <c r="B244" s="34"/>
      <c r="C244" s="34"/>
      <c r="D244" s="39"/>
      <c r="E244" s="33"/>
      <c r="F244" s="34"/>
      <c r="G244" s="34"/>
      <c r="H244" s="39"/>
    </row>
    <row r="245" spans="1:8" x14ac:dyDescent="0.3">
      <c r="A245" s="33"/>
      <c r="B245" s="34"/>
      <c r="C245" s="34"/>
      <c r="D245" s="36">
        <f>D243</f>
        <v>8000</v>
      </c>
      <c r="E245" s="37"/>
      <c r="F245" s="38"/>
      <c r="G245" s="38"/>
      <c r="H245" s="36">
        <f>D243</f>
        <v>8000</v>
      </c>
    </row>
    <row r="246" spans="1:8" x14ac:dyDescent="0.3">
      <c r="A246" s="33">
        <v>46113</v>
      </c>
      <c r="B246" s="34" t="s">
        <v>128</v>
      </c>
      <c r="C246" s="34"/>
      <c r="D246" s="36">
        <f>D245</f>
        <v>8000</v>
      </c>
      <c r="E246" s="37"/>
      <c r="F246" s="38"/>
      <c r="G246" s="38"/>
      <c r="H246" s="36"/>
    </row>
  </sheetData>
  <mergeCells count="29">
    <mergeCell ref="A1:H1"/>
    <mergeCell ref="B3:G3"/>
    <mergeCell ref="B11:G11"/>
    <mergeCell ref="B30:G30"/>
    <mergeCell ref="B42:G42"/>
    <mergeCell ref="B50:G50"/>
    <mergeCell ref="B58:G58"/>
    <mergeCell ref="B68:G68"/>
    <mergeCell ref="B77:G77"/>
    <mergeCell ref="B85:G85"/>
    <mergeCell ref="B185:G185"/>
    <mergeCell ref="B95:G95"/>
    <mergeCell ref="B104:G104"/>
    <mergeCell ref="B112:G112"/>
    <mergeCell ref="B120:G120"/>
    <mergeCell ref="B128:G128"/>
    <mergeCell ref="B136:G136"/>
    <mergeCell ref="B145:G145"/>
    <mergeCell ref="B153:G153"/>
    <mergeCell ref="B161:G161"/>
    <mergeCell ref="B169:G169"/>
    <mergeCell ref="B177:G177"/>
    <mergeCell ref="B241:G241"/>
    <mergeCell ref="B193:G193"/>
    <mergeCell ref="B201:G201"/>
    <mergeCell ref="B209:G209"/>
    <mergeCell ref="B217:G217"/>
    <mergeCell ref="B225:G225"/>
    <mergeCell ref="B233:G2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AE70-82A8-4734-A027-54ED0FA49248}">
  <dimension ref="A1:H32"/>
  <sheetViews>
    <sheetView topLeftCell="A2" workbookViewId="0">
      <selection activeCell="C6" sqref="C6"/>
    </sheetView>
  </sheetViews>
  <sheetFormatPr defaultRowHeight="14.4" x14ac:dyDescent="0.3"/>
  <cols>
    <col min="1" max="1" width="6.21875" customWidth="1"/>
    <col min="2" max="2" width="33.77734375" customWidth="1"/>
    <col min="3" max="4" width="17" style="4" customWidth="1"/>
  </cols>
  <sheetData>
    <row r="1" spans="1:8" ht="41.4" customHeight="1" x14ac:dyDescent="0.3">
      <c r="A1" s="87" t="s">
        <v>186</v>
      </c>
      <c r="B1" s="87"/>
      <c r="C1" s="87"/>
      <c r="D1" s="87"/>
      <c r="E1" s="26"/>
      <c r="F1" s="26"/>
      <c r="G1" s="26"/>
      <c r="H1" s="26"/>
    </row>
    <row r="3" spans="1:8" ht="15.6" x14ac:dyDescent="0.3">
      <c r="A3" s="41" t="s">
        <v>183</v>
      </c>
      <c r="B3" s="31" t="s">
        <v>35</v>
      </c>
      <c r="C3" s="42" t="s">
        <v>184</v>
      </c>
      <c r="D3" s="32" t="s">
        <v>185</v>
      </c>
    </row>
    <row r="4" spans="1:8" x14ac:dyDescent="0.3">
      <c r="A4" s="11">
        <v>1</v>
      </c>
      <c r="B4" s="16" t="s">
        <v>55</v>
      </c>
      <c r="C4" s="10">
        <v>38000</v>
      </c>
      <c r="D4" s="19"/>
    </row>
    <row r="5" spans="1:8" x14ac:dyDescent="0.3">
      <c r="A5" s="11">
        <v>2</v>
      </c>
      <c r="B5" s="16" t="s">
        <v>39</v>
      </c>
      <c r="C5" s="10">
        <v>616000</v>
      </c>
      <c r="D5" s="19"/>
    </row>
    <row r="6" spans="1:8" x14ac:dyDescent="0.3">
      <c r="A6" s="11">
        <v>3</v>
      </c>
      <c r="B6" s="16" t="s">
        <v>43</v>
      </c>
      <c r="C6" s="10">
        <v>80000</v>
      </c>
      <c r="D6" s="19"/>
    </row>
    <row r="7" spans="1:8" x14ac:dyDescent="0.3">
      <c r="A7" s="11">
        <v>4</v>
      </c>
      <c r="B7" s="16" t="s">
        <v>46</v>
      </c>
      <c r="C7" s="10">
        <v>250000</v>
      </c>
      <c r="D7" s="19"/>
    </row>
    <row r="8" spans="1:8" x14ac:dyDescent="0.3">
      <c r="A8" s="11">
        <v>5</v>
      </c>
      <c r="B8" s="16" t="s">
        <v>49</v>
      </c>
      <c r="C8" s="10">
        <v>260000</v>
      </c>
      <c r="D8" s="19"/>
    </row>
    <row r="9" spans="1:8" x14ac:dyDescent="0.3">
      <c r="A9" s="11">
        <v>6</v>
      </c>
      <c r="B9" s="16" t="s">
        <v>60</v>
      </c>
      <c r="C9" s="10" t="s">
        <v>187</v>
      </c>
      <c r="D9" s="19" t="s">
        <v>187</v>
      </c>
    </row>
    <row r="10" spans="1:8" x14ac:dyDescent="0.3">
      <c r="A10" s="11">
        <v>7</v>
      </c>
      <c r="B10" s="16" t="s">
        <v>188</v>
      </c>
      <c r="C10" s="10">
        <v>5000</v>
      </c>
      <c r="D10" s="19"/>
    </row>
    <row r="11" spans="1:8" x14ac:dyDescent="0.3">
      <c r="A11" s="11">
        <v>8</v>
      </c>
      <c r="B11" s="16" t="s">
        <v>145</v>
      </c>
      <c r="C11" s="10" t="s">
        <v>187</v>
      </c>
      <c r="D11" s="19" t="s">
        <v>187</v>
      </c>
    </row>
    <row r="12" spans="1:8" x14ac:dyDescent="0.3">
      <c r="A12" s="11">
        <v>9</v>
      </c>
      <c r="B12" s="16" t="s">
        <v>62</v>
      </c>
      <c r="C12" s="10">
        <v>15000</v>
      </c>
      <c r="D12" s="19"/>
    </row>
    <row r="13" spans="1:8" x14ac:dyDescent="0.3">
      <c r="A13" s="11">
        <v>10</v>
      </c>
      <c r="B13" s="16" t="s">
        <v>66</v>
      </c>
      <c r="C13" s="10">
        <v>30000</v>
      </c>
      <c r="D13" s="19"/>
    </row>
    <row r="14" spans="1:8" x14ac:dyDescent="0.3">
      <c r="A14" s="11">
        <v>11</v>
      </c>
      <c r="B14" s="16" t="s">
        <v>68</v>
      </c>
      <c r="C14" s="10">
        <v>24000</v>
      </c>
      <c r="D14" s="19"/>
    </row>
    <row r="15" spans="1:8" x14ac:dyDescent="0.3">
      <c r="A15" s="11">
        <v>12</v>
      </c>
      <c r="B15" s="16" t="s">
        <v>212</v>
      </c>
      <c r="C15" s="10">
        <v>10000</v>
      </c>
      <c r="D15" s="19"/>
    </row>
    <row r="16" spans="1:8" x14ac:dyDescent="0.3">
      <c r="A16" s="11">
        <v>13</v>
      </c>
      <c r="B16" s="16" t="s">
        <v>76</v>
      </c>
      <c r="C16" s="10">
        <v>50000</v>
      </c>
      <c r="D16" s="19"/>
    </row>
    <row r="17" spans="1:4" x14ac:dyDescent="0.3">
      <c r="A17" s="11">
        <v>14</v>
      </c>
      <c r="B17" s="16" t="s">
        <v>78</v>
      </c>
      <c r="C17" s="10">
        <v>12000</v>
      </c>
      <c r="D17" s="19"/>
    </row>
    <row r="18" spans="1:4" x14ac:dyDescent="0.3">
      <c r="A18" s="11">
        <v>15</v>
      </c>
      <c r="B18" s="16" t="s">
        <v>151</v>
      </c>
      <c r="C18" s="10">
        <v>9000</v>
      </c>
      <c r="D18" s="19"/>
    </row>
    <row r="19" spans="1:4" x14ac:dyDescent="0.3">
      <c r="A19" s="11">
        <v>16</v>
      </c>
      <c r="B19" s="16" t="s">
        <v>91</v>
      </c>
      <c r="C19" s="10">
        <v>20000</v>
      </c>
      <c r="D19" s="19"/>
    </row>
    <row r="20" spans="1:4" x14ac:dyDescent="0.3">
      <c r="A20" s="11">
        <v>17</v>
      </c>
      <c r="B20" s="16" t="s">
        <v>153</v>
      </c>
      <c r="C20" s="10">
        <v>15000</v>
      </c>
      <c r="D20" s="19"/>
    </row>
    <row r="21" spans="1:4" x14ac:dyDescent="0.3">
      <c r="A21" s="11">
        <v>18</v>
      </c>
      <c r="B21" s="16" t="s">
        <v>189</v>
      </c>
      <c r="C21" s="10">
        <v>10000</v>
      </c>
      <c r="D21" s="19"/>
    </row>
    <row r="22" spans="1:4" x14ac:dyDescent="0.3">
      <c r="A22" s="11">
        <v>19</v>
      </c>
      <c r="B22" s="16" t="s">
        <v>155</v>
      </c>
      <c r="C22" s="10">
        <v>4000</v>
      </c>
      <c r="D22" s="19"/>
    </row>
    <row r="23" spans="1:4" x14ac:dyDescent="0.3">
      <c r="A23" s="11">
        <v>20</v>
      </c>
      <c r="B23" s="16" t="s">
        <v>190</v>
      </c>
      <c r="C23" s="10">
        <v>8000</v>
      </c>
      <c r="D23" s="19"/>
    </row>
    <row r="24" spans="1:4" x14ac:dyDescent="0.3">
      <c r="A24" s="11">
        <v>21</v>
      </c>
      <c r="B24" s="16" t="s">
        <v>107</v>
      </c>
      <c r="C24" s="10"/>
      <c r="D24" s="19">
        <v>1000000</v>
      </c>
    </row>
    <row r="25" spans="1:4" x14ac:dyDescent="0.3">
      <c r="A25" s="11">
        <v>22</v>
      </c>
      <c r="B25" s="16" t="s">
        <v>141</v>
      </c>
      <c r="C25" s="10"/>
      <c r="D25" s="19">
        <v>350000</v>
      </c>
    </row>
    <row r="26" spans="1:4" x14ac:dyDescent="0.3">
      <c r="A26" s="11">
        <v>23</v>
      </c>
      <c r="B26" s="16" t="s">
        <v>148</v>
      </c>
      <c r="C26" s="10"/>
      <c r="D26" s="19">
        <v>10000</v>
      </c>
    </row>
    <row r="27" spans="1:4" x14ac:dyDescent="0.3">
      <c r="A27" s="11">
        <v>24</v>
      </c>
      <c r="B27" s="16" t="s">
        <v>149</v>
      </c>
      <c r="C27" s="10"/>
      <c r="D27" s="19">
        <v>2000</v>
      </c>
    </row>
    <row r="28" spans="1:4" x14ac:dyDescent="0.3">
      <c r="A28" s="11">
        <v>25</v>
      </c>
      <c r="B28" s="16" t="s">
        <v>150</v>
      </c>
      <c r="C28" s="10"/>
      <c r="D28" s="19">
        <v>8000</v>
      </c>
    </row>
    <row r="29" spans="1:4" x14ac:dyDescent="0.3">
      <c r="A29" s="11">
        <v>26</v>
      </c>
      <c r="B29" s="16" t="s">
        <v>191</v>
      </c>
      <c r="C29" s="10"/>
      <c r="D29" s="19">
        <v>80000</v>
      </c>
    </row>
    <row r="30" spans="1:4" x14ac:dyDescent="0.3">
      <c r="A30" s="11">
        <v>27</v>
      </c>
      <c r="B30" s="16" t="s">
        <v>152</v>
      </c>
      <c r="C30" s="10" t="s">
        <v>187</v>
      </c>
      <c r="D30" s="19" t="s">
        <v>187</v>
      </c>
    </row>
    <row r="31" spans="1:4" x14ac:dyDescent="0.3">
      <c r="A31" s="11">
        <v>28</v>
      </c>
      <c r="B31" s="16" t="s">
        <v>154</v>
      </c>
      <c r="C31" s="10"/>
      <c r="D31" s="19">
        <v>6000</v>
      </c>
    </row>
    <row r="32" spans="1:4" x14ac:dyDescent="0.3">
      <c r="A32" s="43"/>
      <c r="B32" s="44" t="s">
        <v>192</v>
      </c>
      <c r="C32" s="45">
        <f>SUM(C4:C31)</f>
        <v>1456000</v>
      </c>
      <c r="D32" s="36">
        <f>SUM(D24:D31)</f>
        <v>1456000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C951-EF0C-4FB3-818D-F66F67FEA688}">
  <dimension ref="A1:I15"/>
  <sheetViews>
    <sheetView workbookViewId="0">
      <selection activeCell="D15" sqref="D15"/>
    </sheetView>
  </sheetViews>
  <sheetFormatPr defaultRowHeight="14.4" x14ac:dyDescent="0.3"/>
  <cols>
    <col min="1" max="1" width="29" customWidth="1"/>
    <col min="2" max="3" width="13.88671875" style="4" customWidth="1"/>
    <col min="4" max="4" width="29" customWidth="1"/>
    <col min="5" max="6" width="13.88671875" style="4" customWidth="1"/>
  </cols>
  <sheetData>
    <row r="1" spans="1:9" ht="39" customHeight="1" x14ac:dyDescent="0.3">
      <c r="A1" s="87" t="s">
        <v>193</v>
      </c>
      <c r="B1" s="87"/>
      <c r="C1" s="87"/>
      <c r="D1" s="87"/>
      <c r="E1" s="87"/>
      <c r="F1" s="87"/>
    </row>
    <row r="3" spans="1:9" ht="15.6" x14ac:dyDescent="0.3">
      <c r="A3" s="28" t="s">
        <v>103</v>
      </c>
      <c r="B3" s="46"/>
      <c r="C3" s="46"/>
      <c r="D3" s="28"/>
      <c r="E3" s="46"/>
      <c r="F3" s="30" t="s">
        <v>106</v>
      </c>
    </row>
    <row r="4" spans="1:9" ht="15.6" x14ac:dyDescent="0.3">
      <c r="A4" s="41" t="s">
        <v>35</v>
      </c>
      <c r="B4" s="32" t="s">
        <v>105</v>
      </c>
      <c r="C4" s="42" t="s">
        <v>105</v>
      </c>
      <c r="D4" s="31" t="s">
        <v>35</v>
      </c>
      <c r="E4" s="42" t="s">
        <v>105</v>
      </c>
      <c r="F4" s="32" t="s">
        <v>105</v>
      </c>
    </row>
    <row r="5" spans="1:9" x14ac:dyDescent="0.3">
      <c r="A5" s="11" t="s">
        <v>194</v>
      </c>
      <c r="B5" s="19" t="s">
        <v>187</v>
      </c>
      <c r="C5" s="10" t="s">
        <v>187</v>
      </c>
      <c r="D5" s="16" t="s">
        <v>201</v>
      </c>
      <c r="E5" s="10">
        <v>350000</v>
      </c>
      <c r="F5" s="19"/>
    </row>
    <row r="6" spans="1:9" ht="15" thickBot="1" x14ac:dyDescent="0.35">
      <c r="A6" s="11" t="s">
        <v>196</v>
      </c>
      <c r="B6" s="19">
        <v>260000</v>
      </c>
      <c r="C6" s="10"/>
      <c r="D6" s="16" t="s">
        <v>200</v>
      </c>
      <c r="E6" s="47">
        <v>15000</v>
      </c>
      <c r="F6" s="19">
        <f>E5-E6</f>
        <v>335000</v>
      </c>
    </row>
    <row r="7" spans="1:9" ht="15" thickBot="1" x14ac:dyDescent="0.35">
      <c r="A7" s="11" t="s">
        <v>197</v>
      </c>
      <c r="B7" s="48">
        <v>10000</v>
      </c>
      <c r="C7" s="10">
        <f>B6-B7</f>
        <v>250000</v>
      </c>
      <c r="D7" s="16" t="s">
        <v>202</v>
      </c>
      <c r="E7" s="10"/>
      <c r="F7" s="19">
        <v>175000</v>
      </c>
    </row>
    <row r="8" spans="1:9" x14ac:dyDescent="0.3">
      <c r="A8" s="11" t="s">
        <v>195</v>
      </c>
      <c r="B8" s="19"/>
      <c r="C8" s="10"/>
      <c r="D8" s="16"/>
      <c r="E8" s="10"/>
      <c r="F8" s="19"/>
    </row>
    <row r="9" spans="1:9" x14ac:dyDescent="0.3">
      <c r="A9" s="11" t="s">
        <v>198</v>
      </c>
      <c r="B9" s="19">
        <v>5000</v>
      </c>
      <c r="C9" s="10"/>
      <c r="D9" s="16"/>
      <c r="E9" s="10"/>
      <c r="F9" s="19"/>
    </row>
    <row r="10" spans="1:9" ht="15" thickBot="1" x14ac:dyDescent="0.35">
      <c r="A10" s="11" t="s">
        <v>199</v>
      </c>
      <c r="B10" s="48">
        <v>20000</v>
      </c>
      <c r="C10" s="10">
        <f>B9+B10</f>
        <v>25000</v>
      </c>
      <c r="D10" s="16"/>
      <c r="E10" s="10"/>
      <c r="F10" s="19"/>
    </row>
    <row r="11" spans="1:9" x14ac:dyDescent="0.3">
      <c r="A11" s="11" t="s">
        <v>203</v>
      </c>
      <c r="B11" s="19"/>
      <c r="C11" s="49">
        <v>235000</v>
      </c>
      <c r="D11" s="16"/>
      <c r="E11" s="10"/>
      <c r="F11" s="19"/>
    </row>
    <row r="12" spans="1:9" x14ac:dyDescent="0.3">
      <c r="A12" s="11"/>
      <c r="B12" s="19"/>
      <c r="C12" s="10"/>
      <c r="D12" s="16"/>
      <c r="E12" s="10"/>
      <c r="F12" s="19"/>
      <c r="I12" s="40"/>
    </row>
    <row r="13" spans="1:9" x14ac:dyDescent="0.3">
      <c r="A13" s="12"/>
      <c r="B13" s="20"/>
      <c r="C13" s="36">
        <f>SUM(C7:C12)</f>
        <v>510000</v>
      </c>
      <c r="D13" s="17"/>
      <c r="E13" s="14"/>
      <c r="F13" s="36">
        <f>SUM(F6:F12)</f>
        <v>510000</v>
      </c>
    </row>
    <row r="15" spans="1:9" x14ac:dyDescent="0.3">
      <c r="H15" s="40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D97F-D83F-4557-8E1F-780D7445A091}">
  <dimension ref="A1:I32"/>
  <sheetViews>
    <sheetView tabSelected="1" topLeftCell="A2" workbookViewId="0">
      <selection activeCell="C19" sqref="C19"/>
    </sheetView>
  </sheetViews>
  <sheetFormatPr defaultRowHeight="14.4" x14ac:dyDescent="0.3"/>
  <cols>
    <col min="1" max="1" width="29.109375" customWidth="1"/>
    <col min="2" max="3" width="13.21875" style="4" customWidth="1"/>
    <col min="4" max="4" width="29.109375" customWidth="1"/>
    <col min="5" max="6" width="13.21875" style="4" customWidth="1"/>
  </cols>
  <sheetData>
    <row r="1" spans="1:9" ht="42.6" customHeight="1" x14ac:dyDescent="0.3">
      <c r="A1" s="87" t="s">
        <v>204</v>
      </c>
      <c r="B1" s="87"/>
      <c r="C1" s="87"/>
      <c r="D1" s="87"/>
      <c r="E1" s="87"/>
      <c r="F1" s="87"/>
    </row>
    <row r="3" spans="1:9" ht="15.6" x14ac:dyDescent="0.3">
      <c r="A3" s="28" t="s">
        <v>103</v>
      </c>
      <c r="B3" s="46"/>
      <c r="C3" s="46"/>
      <c r="D3" s="28"/>
      <c r="E3" s="46"/>
      <c r="F3" s="30" t="s">
        <v>106</v>
      </c>
    </row>
    <row r="4" spans="1:9" ht="15.6" x14ac:dyDescent="0.3">
      <c r="A4" s="41" t="s">
        <v>35</v>
      </c>
      <c r="B4" s="32" t="s">
        <v>105</v>
      </c>
      <c r="C4" s="42" t="s">
        <v>105</v>
      </c>
      <c r="D4" s="31" t="s">
        <v>35</v>
      </c>
      <c r="E4" s="42" t="s">
        <v>105</v>
      </c>
      <c r="F4" s="32" t="s">
        <v>105</v>
      </c>
    </row>
    <row r="5" spans="1:9" x14ac:dyDescent="0.3">
      <c r="A5" s="11" t="s">
        <v>209</v>
      </c>
      <c r="B5" s="55">
        <v>30000</v>
      </c>
      <c r="C5" s="52"/>
      <c r="D5" s="22" t="s">
        <v>205</v>
      </c>
      <c r="E5" s="52"/>
      <c r="F5" s="55">
        <v>235000</v>
      </c>
    </row>
    <row r="6" spans="1:9" ht="15" thickBot="1" x14ac:dyDescent="0.35">
      <c r="A6" s="11" t="s">
        <v>304</v>
      </c>
      <c r="B6" s="53">
        <v>5000</v>
      </c>
      <c r="C6" s="52">
        <f>B5+B6</f>
        <v>35000</v>
      </c>
      <c r="D6" s="16" t="s">
        <v>206</v>
      </c>
      <c r="E6" s="52"/>
      <c r="F6" s="51">
        <v>2000</v>
      </c>
    </row>
    <row r="7" spans="1:9" x14ac:dyDescent="0.3">
      <c r="A7" s="11" t="s">
        <v>210</v>
      </c>
      <c r="B7" s="51"/>
      <c r="C7" s="52">
        <v>24000</v>
      </c>
      <c r="D7" s="16" t="s">
        <v>207</v>
      </c>
      <c r="E7" s="52"/>
      <c r="F7" s="51">
        <v>8000</v>
      </c>
    </row>
    <row r="8" spans="1:9" x14ac:dyDescent="0.3">
      <c r="A8" s="11" t="s">
        <v>211</v>
      </c>
      <c r="B8" s="51"/>
      <c r="C8" s="52">
        <v>10000</v>
      </c>
      <c r="D8" s="16" t="s">
        <v>208</v>
      </c>
      <c r="E8" s="52"/>
      <c r="F8" s="51">
        <v>6000</v>
      </c>
    </row>
    <row r="9" spans="1:9" x14ac:dyDescent="0.3">
      <c r="A9" s="11" t="s">
        <v>214</v>
      </c>
      <c r="B9" s="51">
        <v>12000</v>
      </c>
      <c r="C9" s="52"/>
      <c r="D9" s="16"/>
      <c r="F9" s="19"/>
    </row>
    <row r="10" spans="1:9" ht="15" thickBot="1" x14ac:dyDescent="0.35">
      <c r="A10" s="11" t="s">
        <v>305</v>
      </c>
      <c r="B10" s="53">
        <v>2000</v>
      </c>
      <c r="C10" s="52">
        <f>B9-B10</f>
        <v>10000</v>
      </c>
      <c r="D10" s="16"/>
      <c r="E10" s="52"/>
      <c r="F10" s="51"/>
    </row>
    <row r="11" spans="1:9" x14ac:dyDescent="0.3">
      <c r="A11" s="11" t="s">
        <v>215</v>
      </c>
      <c r="B11" s="51"/>
      <c r="C11" s="52">
        <v>9000</v>
      </c>
      <c r="D11" s="16"/>
      <c r="E11" s="52"/>
      <c r="F11" s="50"/>
    </row>
    <row r="12" spans="1:9" x14ac:dyDescent="0.3">
      <c r="A12" s="11" t="s">
        <v>216</v>
      </c>
      <c r="B12" s="51"/>
      <c r="C12" s="52">
        <v>15000</v>
      </c>
      <c r="D12" s="16"/>
      <c r="E12" s="52"/>
      <c r="F12" s="51"/>
    </row>
    <row r="13" spans="1:9" x14ac:dyDescent="0.3">
      <c r="A13" s="11" t="s">
        <v>217</v>
      </c>
      <c r="B13" s="51"/>
      <c r="C13" s="52">
        <v>10000</v>
      </c>
      <c r="D13" s="16"/>
      <c r="E13" s="52"/>
      <c r="F13" s="51"/>
    </row>
    <row r="14" spans="1:9" x14ac:dyDescent="0.3">
      <c r="A14" s="11" t="s">
        <v>218</v>
      </c>
      <c r="B14" s="51"/>
      <c r="C14" s="52">
        <v>4000</v>
      </c>
      <c r="D14" s="16"/>
      <c r="E14" s="52"/>
      <c r="F14" s="51"/>
      <c r="H14" s="40">
        <f>F21-C21</f>
        <v>0</v>
      </c>
    </row>
    <row r="15" spans="1:9" x14ac:dyDescent="0.3">
      <c r="A15" s="11" t="s">
        <v>219</v>
      </c>
      <c r="B15" s="51"/>
      <c r="C15" s="52">
        <v>8000</v>
      </c>
      <c r="D15" s="16"/>
      <c r="E15" s="52"/>
      <c r="F15" s="51"/>
      <c r="I15" s="40"/>
    </row>
    <row r="16" spans="1:9" x14ac:dyDescent="0.3">
      <c r="A16" s="11" t="s">
        <v>312</v>
      </c>
      <c r="B16" s="51"/>
      <c r="C16" s="52">
        <v>25000</v>
      </c>
      <c r="D16" s="16"/>
      <c r="E16" s="52"/>
      <c r="F16" s="51"/>
      <c r="I16" s="40"/>
    </row>
    <row r="17" spans="1:9" x14ac:dyDescent="0.3">
      <c r="A17" s="11" t="s">
        <v>313</v>
      </c>
      <c r="B17" s="51"/>
      <c r="C17" s="52">
        <v>8000</v>
      </c>
      <c r="D17" s="16"/>
      <c r="E17" s="52"/>
      <c r="F17" s="51"/>
      <c r="I17" s="40"/>
    </row>
    <row r="18" spans="1:9" x14ac:dyDescent="0.3">
      <c r="A18" s="11" t="s">
        <v>314</v>
      </c>
      <c r="B18" s="51"/>
      <c r="C18" s="52">
        <v>10000</v>
      </c>
      <c r="D18" s="16"/>
      <c r="E18" s="52"/>
      <c r="F18" s="51"/>
      <c r="I18" s="40"/>
    </row>
    <row r="19" spans="1:9" x14ac:dyDescent="0.3">
      <c r="A19" s="11" t="s">
        <v>303</v>
      </c>
      <c r="B19" s="51"/>
      <c r="C19" s="49">
        <v>83000</v>
      </c>
      <c r="D19" s="16"/>
      <c r="E19" s="52"/>
      <c r="F19" s="51"/>
    </row>
    <row r="20" spans="1:9" x14ac:dyDescent="0.3">
      <c r="A20" s="11"/>
      <c r="B20" s="19"/>
      <c r="D20" s="16"/>
      <c r="F20" s="19"/>
    </row>
    <row r="21" spans="1:9" x14ac:dyDescent="0.3">
      <c r="A21" s="12"/>
      <c r="B21" s="20"/>
      <c r="C21" s="45">
        <f>SUM(C5:C20)</f>
        <v>251000</v>
      </c>
      <c r="D21" s="17"/>
      <c r="E21" s="14"/>
      <c r="F21" s="36">
        <f>SUM(F5:F20)</f>
        <v>251000</v>
      </c>
    </row>
    <row r="22" spans="1:9" x14ac:dyDescent="0.3">
      <c r="I22" s="40"/>
    </row>
    <row r="23" spans="1:9" ht="15.6" x14ac:dyDescent="0.3">
      <c r="D23" s="89" t="s">
        <v>306</v>
      </c>
      <c r="E23" s="90"/>
    </row>
    <row r="24" spans="1:9" x14ac:dyDescent="0.3">
      <c r="D24" s="67" t="s">
        <v>308</v>
      </c>
      <c r="E24" s="25">
        <v>250000</v>
      </c>
    </row>
    <row r="25" spans="1:9" ht="15" thickBot="1" x14ac:dyDescent="0.35">
      <c r="D25" s="11" t="s">
        <v>309</v>
      </c>
      <c r="E25" s="68">
        <f>250000*10/100</f>
        <v>25000</v>
      </c>
    </row>
    <row r="26" spans="1:9" x14ac:dyDescent="0.3">
      <c r="D26" s="12"/>
      <c r="E26" s="20">
        <f>E24-E25</f>
        <v>225000</v>
      </c>
    </row>
    <row r="27" spans="1:9" x14ac:dyDescent="0.3">
      <c r="D27" s="11" t="s">
        <v>307</v>
      </c>
      <c r="E27" s="19">
        <v>80000</v>
      </c>
    </row>
    <row r="28" spans="1:9" ht="15" thickBot="1" x14ac:dyDescent="0.35">
      <c r="D28" s="11" t="s">
        <v>310</v>
      </c>
      <c r="E28" s="68">
        <f>E27*10/100</f>
        <v>8000</v>
      </c>
    </row>
    <row r="29" spans="1:9" x14ac:dyDescent="0.3">
      <c r="D29" s="11"/>
      <c r="E29" s="19">
        <f>E27-E28</f>
        <v>72000</v>
      </c>
    </row>
    <row r="30" spans="1:9" x14ac:dyDescent="0.3">
      <c r="D30" s="67" t="s">
        <v>232</v>
      </c>
      <c r="E30" s="25">
        <v>50000</v>
      </c>
    </row>
    <row r="31" spans="1:9" ht="15" thickBot="1" x14ac:dyDescent="0.35">
      <c r="D31" s="11" t="s">
        <v>311</v>
      </c>
      <c r="E31" s="68">
        <f>E30*20/100</f>
        <v>10000</v>
      </c>
    </row>
    <row r="32" spans="1:9" x14ac:dyDescent="0.3">
      <c r="D32" s="12"/>
      <c r="E32" s="20">
        <v>40000</v>
      </c>
    </row>
  </sheetData>
  <mergeCells count="2">
    <mergeCell ref="A1:F1"/>
    <mergeCell ref="D23:E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E840-D4A5-4209-96C7-F6721952B992}">
  <dimension ref="A1:H18"/>
  <sheetViews>
    <sheetView workbookViewId="0">
      <selection activeCell="H11" sqref="H11"/>
    </sheetView>
  </sheetViews>
  <sheetFormatPr defaultRowHeight="14.4" x14ac:dyDescent="0.3"/>
  <cols>
    <col min="1" max="1" width="32.5546875" customWidth="1"/>
    <col min="2" max="3" width="10.5546875" bestFit="1" customWidth="1"/>
    <col min="4" max="4" width="32.5546875" customWidth="1"/>
    <col min="5" max="6" width="10.5546875" bestFit="1" customWidth="1"/>
  </cols>
  <sheetData>
    <row r="1" spans="1:8" ht="43.2" customHeight="1" x14ac:dyDescent="0.3">
      <c r="A1" s="87" t="s">
        <v>222</v>
      </c>
      <c r="B1" s="87"/>
      <c r="C1" s="87"/>
      <c r="D1" s="87"/>
      <c r="E1" s="87"/>
      <c r="F1" s="87"/>
    </row>
    <row r="2" spans="1:8" x14ac:dyDescent="0.3">
      <c r="B2" s="4"/>
      <c r="C2" s="4"/>
      <c r="E2" s="4"/>
      <c r="F2" s="4"/>
    </row>
    <row r="3" spans="1:8" ht="15.6" x14ac:dyDescent="0.3">
      <c r="A3" s="28" t="s">
        <v>103</v>
      </c>
      <c r="B3" s="46"/>
      <c r="C3" s="46"/>
      <c r="D3" s="28"/>
      <c r="E3" s="46"/>
      <c r="F3" s="30" t="s">
        <v>106</v>
      </c>
    </row>
    <row r="4" spans="1:8" ht="15.6" x14ac:dyDescent="0.3">
      <c r="A4" s="41" t="s">
        <v>220</v>
      </c>
      <c r="B4" s="32" t="s">
        <v>105</v>
      </c>
      <c r="C4" s="42" t="s">
        <v>105</v>
      </c>
      <c r="D4" s="31" t="s">
        <v>221</v>
      </c>
      <c r="E4" s="42" t="s">
        <v>105</v>
      </c>
      <c r="F4" s="32" t="s">
        <v>105</v>
      </c>
    </row>
    <row r="5" spans="1:8" x14ac:dyDescent="0.3">
      <c r="A5" s="11" t="s">
        <v>223</v>
      </c>
      <c r="B5" s="55">
        <v>1000000</v>
      </c>
      <c r="C5" s="52"/>
      <c r="D5" s="67" t="s">
        <v>226</v>
      </c>
      <c r="E5" s="55"/>
      <c r="F5" s="55"/>
    </row>
    <row r="6" spans="1:8" ht="15" thickBot="1" x14ac:dyDescent="0.35">
      <c r="A6" s="11" t="s">
        <v>315</v>
      </c>
      <c r="B6" s="53">
        <v>83000</v>
      </c>
      <c r="C6" s="52">
        <f>B5+B6</f>
        <v>1083000</v>
      </c>
      <c r="D6" s="11" t="s">
        <v>227</v>
      </c>
      <c r="E6" s="51">
        <v>38000</v>
      </c>
      <c r="F6" s="51"/>
    </row>
    <row r="7" spans="1:8" ht="15" thickBot="1" x14ac:dyDescent="0.35">
      <c r="A7" s="11" t="s">
        <v>224</v>
      </c>
      <c r="B7" s="51"/>
      <c r="C7" s="52"/>
      <c r="D7" s="11" t="s">
        <v>228</v>
      </c>
      <c r="E7" s="53">
        <v>616000</v>
      </c>
      <c r="F7" s="51">
        <f>E6+E7</f>
        <v>654000</v>
      </c>
    </row>
    <row r="8" spans="1:8" x14ac:dyDescent="0.3">
      <c r="A8" s="11" t="s">
        <v>225</v>
      </c>
      <c r="B8" s="51"/>
      <c r="C8" s="52">
        <v>80000</v>
      </c>
      <c r="D8" s="11" t="s">
        <v>317</v>
      </c>
      <c r="E8" s="16"/>
      <c r="F8" s="51">
        <v>2000</v>
      </c>
      <c r="H8" s="40"/>
    </row>
    <row r="9" spans="1:8" x14ac:dyDescent="0.3">
      <c r="A9" s="11" t="s">
        <v>316</v>
      </c>
      <c r="B9" s="51"/>
      <c r="C9" s="52">
        <v>5000</v>
      </c>
      <c r="D9" s="11" t="s">
        <v>321</v>
      </c>
      <c r="E9" s="16"/>
      <c r="F9" s="51">
        <v>175000</v>
      </c>
    </row>
    <row r="10" spans="1:8" x14ac:dyDescent="0.3">
      <c r="B10" s="51"/>
      <c r="D10" s="11" t="s">
        <v>229</v>
      </c>
      <c r="E10" s="51"/>
      <c r="F10" s="51"/>
    </row>
    <row r="11" spans="1:8" x14ac:dyDescent="0.3">
      <c r="B11" s="51"/>
      <c r="D11" s="11" t="s">
        <v>230</v>
      </c>
      <c r="E11" s="51">
        <v>80000</v>
      </c>
      <c r="F11" s="51"/>
    </row>
    <row r="12" spans="1:8" ht="15" thickBot="1" x14ac:dyDescent="0.35">
      <c r="B12" s="51"/>
      <c r="C12" s="52"/>
      <c r="D12" s="11" t="s">
        <v>318</v>
      </c>
      <c r="E12" s="53">
        <v>8000</v>
      </c>
      <c r="F12" s="51">
        <f>E11-E12</f>
        <v>72000</v>
      </c>
    </row>
    <row r="13" spans="1:8" x14ac:dyDescent="0.3">
      <c r="A13" s="11"/>
      <c r="B13" s="51"/>
      <c r="C13" s="52"/>
      <c r="D13" s="11" t="s">
        <v>231</v>
      </c>
      <c r="E13" s="51">
        <v>250000</v>
      </c>
      <c r="F13" s="51"/>
    </row>
    <row r="14" spans="1:8" ht="15" thickBot="1" x14ac:dyDescent="0.35">
      <c r="A14" s="11"/>
      <c r="B14" s="51"/>
      <c r="C14" s="52"/>
      <c r="D14" s="11" t="s">
        <v>319</v>
      </c>
      <c r="E14" s="53">
        <v>25000</v>
      </c>
      <c r="F14" s="51">
        <f>E13-E14</f>
        <v>225000</v>
      </c>
    </row>
    <row r="15" spans="1:8" x14ac:dyDescent="0.3">
      <c r="A15" s="11"/>
      <c r="B15" s="51"/>
      <c r="C15" s="52"/>
      <c r="D15" s="11" t="s">
        <v>232</v>
      </c>
      <c r="E15" s="51">
        <v>50000</v>
      </c>
      <c r="F15" s="51"/>
    </row>
    <row r="16" spans="1:8" ht="15" thickBot="1" x14ac:dyDescent="0.35">
      <c r="A16" s="11"/>
      <c r="B16" s="51"/>
      <c r="C16" s="52"/>
      <c r="D16" s="11" t="s">
        <v>320</v>
      </c>
      <c r="E16" s="53">
        <v>10000</v>
      </c>
      <c r="F16" s="51">
        <f>E15-E16</f>
        <v>40000</v>
      </c>
    </row>
    <row r="17" spans="1:6" x14ac:dyDescent="0.3">
      <c r="A17" s="11"/>
      <c r="B17" s="51"/>
      <c r="C17" s="52"/>
      <c r="D17" s="11"/>
      <c r="E17" s="51"/>
      <c r="F17" s="51"/>
    </row>
    <row r="18" spans="1:6" x14ac:dyDescent="0.3">
      <c r="A18" s="12"/>
      <c r="B18" s="54"/>
      <c r="C18" s="56">
        <f>SUM(C6:C17)</f>
        <v>1168000</v>
      </c>
      <c r="D18" s="12"/>
      <c r="E18" s="54"/>
      <c r="F18" s="56">
        <f>SUM(F7:F16)</f>
        <v>1168000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A097-CF6C-4AC0-A75F-C01594F103D2}">
  <dimension ref="A1:C47"/>
  <sheetViews>
    <sheetView workbookViewId="0">
      <selection activeCell="E38" sqref="E38"/>
    </sheetView>
  </sheetViews>
  <sheetFormatPr defaultRowHeight="14.4" x14ac:dyDescent="0.3"/>
  <cols>
    <col min="1" max="1" width="58.6640625" customWidth="1"/>
    <col min="2" max="2" width="78.109375" bestFit="1" customWidth="1"/>
    <col min="3" max="3" width="80.21875" bestFit="1" customWidth="1"/>
  </cols>
  <sheetData>
    <row r="1" spans="1:3" ht="18" x14ac:dyDescent="0.35">
      <c r="A1" s="82" t="s">
        <v>233</v>
      </c>
      <c r="B1" s="82"/>
      <c r="C1" s="69" t="s">
        <v>234</v>
      </c>
    </row>
    <row r="2" spans="1:3" x14ac:dyDescent="0.3">
      <c r="A2" s="83" t="s">
        <v>235</v>
      </c>
      <c r="B2" s="84"/>
      <c r="C2" s="70"/>
    </row>
    <row r="3" spans="1:3" x14ac:dyDescent="0.3">
      <c r="A3" s="71" t="s">
        <v>236</v>
      </c>
      <c r="B3" s="72" t="s">
        <v>237</v>
      </c>
      <c r="C3" s="73"/>
    </row>
    <row r="4" spans="1:3" x14ac:dyDescent="0.3">
      <c r="A4" s="74" t="s">
        <v>238</v>
      </c>
      <c r="B4" s="57">
        <v>831000</v>
      </c>
      <c r="C4" s="73" t="s">
        <v>288</v>
      </c>
    </row>
    <row r="5" spans="1:3" x14ac:dyDescent="0.3">
      <c r="A5" s="74" t="s">
        <v>239</v>
      </c>
      <c r="B5" s="57">
        <v>85000</v>
      </c>
      <c r="C5" s="73" t="s">
        <v>322</v>
      </c>
    </row>
    <row r="6" spans="1:3" x14ac:dyDescent="0.3">
      <c r="A6" s="74"/>
      <c r="B6" s="57"/>
      <c r="C6" s="75" t="s">
        <v>240</v>
      </c>
    </row>
    <row r="7" spans="1:3" x14ac:dyDescent="0.3">
      <c r="A7" s="74" t="s">
        <v>241</v>
      </c>
      <c r="B7" s="58">
        <f>(B4/B5)</f>
        <v>9.7764705882352949</v>
      </c>
      <c r="C7" s="75" t="s">
        <v>242</v>
      </c>
    </row>
    <row r="8" spans="1:3" x14ac:dyDescent="0.3">
      <c r="A8" s="76"/>
      <c r="B8" s="59"/>
      <c r="C8" s="76"/>
    </row>
    <row r="9" spans="1:3" x14ac:dyDescent="0.3">
      <c r="A9" s="71" t="s">
        <v>243</v>
      </c>
      <c r="B9" s="60" t="s">
        <v>244</v>
      </c>
      <c r="C9" s="73"/>
    </row>
    <row r="10" spans="1:3" x14ac:dyDescent="0.3">
      <c r="A10" s="74" t="s">
        <v>245</v>
      </c>
      <c r="B10" s="57">
        <f>B4-175000-2000</f>
        <v>654000</v>
      </c>
      <c r="C10" s="73" t="s">
        <v>289</v>
      </c>
    </row>
    <row r="11" spans="1:3" x14ac:dyDescent="0.3">
      <c r="A11" s="74" t="s">
        <v>239</v>
      </c>
      <c r="B11" s="57">
        <f>B5</f>
        <v>85000</v>
      </c>
      <c r="C11" s="73" t="s">
        <v>323</v>
      </c>
    </row>
    <row r="12" spans="1:3" x14ac:dyDescent="0.3">
      <c r="A12" s="74"/>
      <c r="B12" s="57"/>
      <c r="C12" s="75" t="s">
        <v>246</v>
      </c>
    </row>
    <row r="13" spans="1:3" x14ac:dyDescent="0.3">
      <c r="A13" s="74" t="s">
        <v>247</v>
      </c>
      <c r="B13" s="58">
        <f>(B10/B11)</f>
        <v>7.6941176470588237</v>
      </c>
      <c r="C13" s="77" t="s">
        <v>248</v>
      </c>
    </row>
    <row r="14" spans="1:3" x14ac:dyDescent="0.3">
      <c r="A14" s="76"/>
      <c r="B14" s="61"/>
      <c r="C14" s="76"/>
    </row>
    <row r="15" spans="1:3" x14ac:dyDescent="0.3">
      <c r="A15" s="71" t="s">
        <v>249</v>
      </c>
      <c r="B15" s="62" t="s">
        <v>250</v>
      </c>
      <c r="C15" s="73"/>
    </row>
    <row r="16" spans="1:3" x14ac:dyDescent="0.3">
      <c r="A16" s="74" t="s">
        <v>251</v>
      </c>
      <c r="B16" s="57">
        <v>654000</v>
      </c>
      <c r="C16" s="73" t="s">
        <v>290</v>
      </c>
    </row>
    <row r="17" spans="1:3" x14ac:dyDescent="0.3">
      <c r="A17" s="74" t="s">
        <v>239</v>
      </c>
      <c r="B17" s="57">
        <f>B5</f>
        <v>85000</v>
      </c>
      <c r="C17" s="73" t="s">
        <v>324</v>
      </c>
    </row>
    <row r="18" spans="1:3" x14ac:dyDescent="0.3">
      <c r="A18" s="74"/>
      <c r="B18" s="57"/>
      <c r="C18" s="73" t="s">
        <v>252</v>
      </c>
    </row>
    <row r="19" spans="1:3" x14ac:dyDescent="0.3">
      <c r="A19" s="74" t="s">
        <v>253</v>
      </c>
      <c r="B19" s="58">
        <f>(B16/B17)</f>
        <v>7.6941176470588237</v>
      </c>
      <c r="C19" s="75" t="s">
        <v>254</v>
      </c>
    </row>
    <row r="20" spans="1:3" x14ac:dyDescent="0.3">
      <c r="A20" s="78"/>
      <c r="B20" s="61"/>
      <c r="C20" s="76"/>
    </row>
    <row r="21" spans="1:3" x14ac:dyDescent="0.3">
      <c r="A21" s="79" t="s">
        <v>255</v>
      </c>
      <c r="B21" s="62" t="s">
        <v>256</v>
      </c>
      <c r="C21" s="73"/>
    </row>
    <row r="22" spans="1:3" x14ac:dyDescent="0.3">
      <c r="A22" s="74" t="s">
        <v>257</v>
      </c>
      <c r="B22" s="57">
        <v>85000</v>
      </c>
      <c r="C22" s="73" t="s">
        <v>291</v>
      </c>
    </row>
    <row r="23" spans="1:3" x14ac:dyDescent="0.3">
      <c r="A23" s="74" t="s">
        <v>258</v>
      </c>
      <c r="B23" s="57">
        <v>1083000</v>
      </c>
      <c r="C23" s="73" t="s">
        <v>325</v>
      </c>
    </row>
    <row r="24" spans="1:3" x14ac:dyDescent="0.3">
      <c r="A24" s="74"/>
      <c r="B24" s="57"/>
      <c r="C24" s="73" t="s">
        <v>259</v>
      </c>
    </row>
    <row r="25" spans="1:3" ht="28.8" x14ac:dyDescent="0.3">
      <c r="A25" s="74" t="s">
        <v>260</v>
      </c>
      <c r="B25" s="63">
        <f>(B22/B23)</f>
        <v>7.8485687903970452E-2</v>
      </c>
      <c r="C25" s="75" t="s">
        <v>261</v>
      </c>
    </row>
    <row r="26" spans="1:3" x14ac:dyDescent="0.3">
      <c r="A26" s="80"/>
      <c r="B26" s="59"/>
      <c r="C26" s="76"/>
    </row>
    <row r="27" spans="1:3" x14ac:dyDescent="0.3">
      <c r="A27" s="71" t="s">
        <v>262</v>
      </c>
      <c r="B27" s="62" t="s">
        <v>263</v>
      </c>
      <c r="C27" s="73" t="s">
        <v>292</v>
      </c>
    </row>
    <row r="28" spans="1:3" x14ac:dyDescent="0.3">
      <c r="A28" s="74" t="s">
        <v>257</v>
      </c>
      <c r="B28" s="57">
        <f>B22</f>
        <v>85000</v>
      </c>
      <c r="C28" s="73" t="s">
        <v>326</v>
      </c>
    </row>
    <row r="29" spans="1:3" x14ac:dyDescent="0.3">
      <c r="A29" s="74" t="s">
        <v>264</v>
      </c>
      <c r="B29" s="57">
        <v>1168000</v>
      </c>
      <c r="C29" s="73" t="s">
        <v>265</v>
      </c>
    </row>
    <row r="30" spans="1:3" x14ac:dyDescent="0.3">
      <c r="A30" s="74" t="s">
        <v>266</v>
      </c>
      <c r="B30" s="63">
        <f>(B28/B29)</f>
        <v>7.2773972602739725E-2</v>
      </c>
      <c r="C30" s="73" t="s">
        <v>267</v>
      </c>
    </row>
    <row r="31" spans="1:3" x14ac:dyDescent="0.3">
      <c r="A31" s="76"/>
      <c r="B31" s="59"/>
      <c r="C31" s="76"/>
    </row>
    <row r="32" spans="1:3" x14ac:dyDescent="0.3">
      <c r="A32" s="71" t="s">
        <v>268</v>
      </c>
      <c r="B32" s="62" t="s">
        <v>269</v>
      </c>
      <c r="C32" s="73" t="s">
        <v>293</v>
      </c>
    </row>
    <row r="33" spans="1:3" x14ac:dyDescent="0.3">
      <c r="A33" s="74" t="s">
        <v>270</v>
      </c>
      <c r="B33" s="57">
        <v>335000</v>
      </c>
      <c r="C33" s="73" t="s">
        <v>327</v>
      </c>
    </row>
    <row r="34" spans="1:3" x14ac:dyDescent="0.3">
      <c r="A34" s="74" t="s">
        <v>264</v>
      </c>
      <c r="B34" s="57">
        <f>B29</f>
        <v>1168000</v>
      </c>
      <c r="C34" s="73" t="s">
        <v>271</v>
      </c>
    </row>
    <row r="35" spans="1:3" x14ac:dyDescent="0.3">
      <c r="A35" s="74" t="s">
        <v>272</v>
      </c>
      <c r="B35" s="64">
        <f>B33/B34</f>
        <v>0.28681506849315069</v>
      </c>
      <c r="C35" s="73" t="s">
        <v>273</v>
      </c>
    </row>
    <row r="36" spans="1:3" x14ac:dyDescent="0.3">
      <c r="A36" s="78"/>
      <c r="B36" s="59"/>
      <c r="C36" s="76"/>
    </row>
    <row r="37" spans="1:3" x14ac:dyDescent="0.3">
      <c r="A37" s="71" t="s">
        <v>274</v>
      </c>
      <c r="B37" s="65" t="s">
        <v>275</v>
      </c>
      <c r="C37" s="73"/>
    </row>
    <row r="38" spans="1:3" x14ac:dyDescent="0.3">
      <c r="A38" s="74" t="s">
        <v>276</v>
      </c>
      <c r="B38" s="57">
        <f>250000+25000-175000</f>
        <v>100000</v>
      </c>
      <c r="C38" s="73" t="s">
        <v>294</v>
      </c>
    </row>
    <row r="39" spans="1:3" x14ac:dyDescent="0.3">
      <c r="A39" s="74" t="s">
        <v>277</v>
      </c>
      <c r="B39" s="57">
        <f>175000/2</f>
        <v>87500</v>
      </c>
      <c r="C39" s="73" t="s">
        <v>329</v>
      </c>
    </row>
    <row r="40" spans="1:3" x14ac:dyDescent="0.3">
      <c r="A40" s="74"/>
      <c r="B40" s="57"/>
      <c r="C40" s="75" t="s">
        <v>278</v>
      </c>
    </row>
    <row r="41" spans="1:3" x14ac:dyDescent="0.3">
      <c r="A41" s="74" t="s">
        <v>279</v>
      </c>
      <c r="B41" s="58">
        <f>B38/B39</f>
        <v>1.1428571428571428</v>
      </c>
      <c r="C41" s="73" t="s">
        <v>280</v>
      </c>
    </row>
    <row r="42" spans="1:3" x14ac:dyDescent="0.3">
      <c r="A42" s="76"/>
      <c r="B42" s="59"/>
      <c r="C42" s="76"/>
    </row>
    <row r="43" spans="1:3" x14ac:dyDescent="0.3">
      <c r="A43" s="71" t="s">
        <v>281</v>
      </c>
      <c r="B43" s="62" t="s">
        <v>282</v>
      </c>
      <c r="C43" s="73"/>
    </row>
    <row r="44" spans="1:3" x14ac:dyDescent="0.3">
      <c r="A44" s="74" t="s">
        <v>283</v>
      </c>
      <c r="B44" s="57">
        <f>B33</f>
        <v>335000</v>
      </c>
      <c r="C44" s="73" t="s">
        <v>295</v>
      </c>
    </row>
    <row r="45" spans="1:3" x14ac:dyDescent="0.3">
      <c r="A45" s="74" t="s">
        <v>284</v>
      </c>
      <c r="B45" s="57">
        <f>(B4-B5)</f>
        <v>746000</v>
      </c>
      <c r="C45" s="73" t="s">
        <v>328</v>
      </c>
    </row>
    <row r="46" spans="1:3" x14ac:dyDescent="0.3">
      <c r="A46" s="74"/>
      <c r="B46" s="57"/>
      <c r="C46" s="73" t="s">
        <v>285</v>
      </c>
    </row>
    <row r="47" spans="1:3" x14ac:dyDescent="0.3">
      <c r="A47" s="81" t="s">
        <v>286</v>
      </c>
      <c r="B47" s="66">
        <f>B44/B45</f>
        <v>0.44906166219839144</v>
      </c>
      <c r="C47" s="70" t="s">
        <v>287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Problems.</vt:lpstr>
      <vt:lpstr>Journal.</vt:lpstr>
      <vt:lpstr>Ledger.</vt:lpstr>
      <vt:lpstr>Trial Balance.</vt:lpstr>
      <vt:lpstr>Trading Account.</vt:lpstr>
      <vt:lpstr>P&amp;L.</vt:lpstr>
      <vt:lpstr>Balance Sheet.</vt:lpstr>
      <vt:lpstr>Ratio Analysis.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Maha Raja</cp:lastModifiedBy>
  <dcterms:created xsi:type="dcterms:W3CDTF">2026-08-24T13:22:04Z</dcterms:created>
  <dcterms:modified xsi:type="dcterms:W3CDTF">2026-08-27T14:51:10Z</dcterms:modified>
</cp:coreProperties>
</file>